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Git\給与\bin\"/>
    </mc:Choice>
  </mc:AlternateContent>
  <xr:revisionPtr revIDLastSave="0" documentId="13_ncr:1_{F4804095-8372-40A6-AEE7-4AA5FB492C93}" xr6:coauthVersionLast="47" xr6:coauthVersionMax="47" xr10:uidLastSave="{00000000-0000-0000-0000-000000000000}"/>
  <bookViews>
    <workbookView xWindow="-120" yWindow="-120" windowWidth="29040" windowHeight="17640" xr2:uid="{00000000-000D-0000-FFFF-FFFF00000000}"/>
  </bookViews>
  <sheets>
    <sheet name="Menu" sheetId="2" r:id="rId1"/>
    <sheet name="List" sheetId="3" r:id="rId2"/>
    <sheet name="Masta" sheetId="12" r:id="rId3"/>
    <sheet name="家族手当" sheetId="13" r:id="rId4"/>
    <sheet name="平均" sheetId="15" r:id="rId5"/>
    <sheet name="所在地" sheetId="16" r:id="rId6"/>
  </sheets>
  <functionGroups builtInGroupCount="19"/>
  <definedNames>
    <definedName name="_xlnm.Print_Area" localSheetId="1">List!$B$3:$X$55</definedName>
    <definedName name="_xlnm.Print_Area" localSheetId="2">Masta!$A$1:$M$100</definedName>
    <definedName name="_xlnm.Print_Area" localSheetId="5">所在地!$A$1:$G$13</definedName>
    <definedName name="_xlnm.Print_Area" localSheetId="4">平均!$A$2:$H$33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V51" i="3" l="1"/>
  <c r="V50" i="3"/>
  <c r="V49" i="3"/>
  <c r="V48" i="3"/>
  <c r="V47" i="3"/>
  <c r="V46" i="3"/>
  <c r="V45" i="3"/>
  <c r="V44" i="3"/>
  <c r="V43" i="3"/>
  <c r="V42" i="3"/>
  <c r="V41" i="3"/>
  <c r="V40" i="3"/>
  <c r="V39" i="3"/>
  <c r="V38" i="3"/>
  <c r="V37" i="3"/>
  <c r="V36" i="3"/>
  <c r="V35" i="3"/>
  <c r="V34" i="3"/>
  <c r="V33" i="3"/>
  <c r="V32" i="3"/>
  <c r="V31" i="3"/>
  <c r="V30" i="3"/>
  <c r="V29" i="3"/>
  <c r="V28" i="3"/>
  <c r="V27" i="3"/>
  <c r="V26" i="3"/>
  <c r="V25" i="3"/>
  <c r="V24" i="3"/>
  <c r="V23" i="3"/>
  <c r="V22" i="3"/>
  <c r="V21" i="3"/>
  <c r="V20" i="3"/>
  <c r="V19" i="3"/>
  <c r="V18" i="3"/>
  <c r="V17" i="3"/>
  <c r="V16" i="3"/>
  <c r="V15" i="3"/>
  <c r="V14" i="3"/>
  <c r="V13" i="3"/>
  <c r="V12" i="3"/>
  <c r="V11" i="3"/>
  <c r="V10" i="3"/>
  <c r="V9" i="3"/>
  <c r="V8" i="3"/>
  <c r="V7" i="3"/>
  <c r="F112" i="3" l="1"/>
  <c r="F111" i="3"/>
  <c r="F110" i="3"/>
  <c r="F109" i="3"/>
  <c r="F108" i="3"/>
  <c r="F107" i="3"/>
  <c r="F106" i="3"/>
  <c r="F105" i="3"/>
  <c r="F104" i="3"/>
  <c r="F103" i="3"/>
  <c r="F102" i="3"/>
  <c r="F101" i="3"/>
  <c r="F100" i="3"/>
  <c r="F99" i="3"/>
  <c r="F98" i="3"/>
  <c r="F97" i="3"/>
  <c r="F96" i="3"/>
  <c r="F95" i="3"/>
  <c r="F94" i="3"/>
  <c r="F93" i="3"/>
  <c r="F92" i="3"/>
  <c r="F91" i="3"/>
  <c r="F90" i="3"/>
  <c r="F89" i="3"/>
  <c r="F88" i="3"/>
  <c r="F87" i="3"/>
  <c r="F86" i="3"/>
  <c r="F85" i="3"/>
  <c r="F84" i="3"/>
  <c r="F83" i="3"/>
  <c r="F82" i="3"/>
  <c r="F81" i="3"/>
  <c r="F80" i="3"/>
  <c r="F79" i="3"/>
  <c r="F78" i="3"/>
  <c r="F77" i="3"/>
  <c r="F76" i="3"/>
  <c r="F75" i="3"/>
  <c r="F74" i="3"/>
  <c r="F73" i="3"/>
  <c r="F72" i="3"/>
  <c r="F71" i="3"/>
  <c r="F70" i="3"/>
  <c r="F69" i="3"/>
  <c r="F68" i="3"/>
  <c r="F67" i="3"/>
  <c r="F66" i="3"/>
  <c r="F65" i="3"/>
  <c r="F53" i="3"/>
  <c r="F52" i="3"/>
  <c r="F51" i="3"/>
  <c r="F50" i="3"/>
  <c r="F49" i="3"/>
  <c r="F48" i="3"/>
  <c r="F47" i="3"/>
  <c r="F46" i="3"/>
  <c r="F45" i="3"/>
  <c r="F44" i="3"/>
  <c r="F43" i="3"/>
  <c r="F42" i="3"/>
  <c r="F41" i="3"/>
  <c r="F40" i="3"/>
  <c r="F39" i="3"/>
  <c r="F38" i="3"/>
  <c r="F37" i="3"/>
  <c r="F36" i="3"/>
  <c r="F35" i="3"/>
  <c r="F34" i="3"/>
  <c r="F33" i="3"/>
  <c r="F32" i="3"/>
  <c r="F31" i="3"/>
  <c r="F30" i="3"/>
  <c r="F29" i="3"/>
  <c r="F28" i="3"/>
  <c r="F27" i="3"/>
  <c r="F26" i="3"/>
  <c r="F25" i="3"/>
  <c r="F24" i="3"/>
  <c r="F23" i="3"/>
  <c r="F22" i="3"/>
  <c r="F21" i="3"/>
  <c r="F20" i="3"/>
  <c r="F19" i="3"/>
  <c r="F18" i="3"/>
  <c r="F17" i="3"/>
  <c r="F16" i="3"/>
  <c r="F15" i="3"/>
  <c r="F14" i="3"/>
  <c r="F13" i="3"/>
  <c r="F12" i="3"/>
  <c r="F11" i="3"/>
  <c r="F10" i="3"/>
  <c r="F9" i="3"/>
  <c r="F8" i="3"/>
  <c r="F7" i="3"/>
  <c r="V53" i="3"/>
  <c r="V52" i="3"/>
  <c r="N7" i="3"/>
  <c r="K52" i="3" l="1"/>
  <c r="N51" i="3"/>
  <c r="H60" i="13" l="1"/>
  <c r="H59" i="13"/>
  <c r="H58" i="13" l="1"/>
  <c r="D14" i="15" l="1"/>
  <c r="F3" i="15"/>
  <c r="N47" i="3"/>
  <c r="N14" i="3"/>
  <c r="H34" i="13" l="1"/>
  <c r="H61" i="13"/>
  <c r="H57" i="13"/>
  <c r="M44" i="12" l="1"/>
  <c r="H12" i="13" l="1"/>
  <c r="G62" i="13"/>
  <c r="H56" i="13" l="1"/>
  <c r="I13" i="16" l="1"/>
  <c r="E8" i="16"/>
  <c r="K21" i="3" l="1"/>
  <c r="H26" i="13" l="1"/>
  <c r="H55" i="13"/>
  <c r="H54" i="13"/>
  <c r="H53" i="13"/>
  <c r="H29" i="13" l="1"/>
  <c r="G36" i="13" l="1"/>
  <c r="D32" i="15" l="1"/>
  <c r="D31" i="15"/>
  <c r="D30" i="15"/>
  <c r="D27" i="15"/>
  <c r="D33" i="15" l="1"/>
  <c r="G18" i="15"/>
  <c r="G17" i="15"/>
  <c r="G15" i="15"/>
  <c r="G14" i="15"/>
  <c r="E18" i="15"/>
  <c r="E17" i="15"/>
  <c r="E15" i="15"/>
  <c r="E14" i="15"/>
  <c r="D17" i="15"/>
  <c r="D18" i="15"/>
  <c r="D15" i="15"/>
  <c r="D21" i="15" l="1"/>
  <c r="D19" i="15"/>
  <c r="G21" i="15"/>
  <c r="H18" i="15"/>
  <c r="E21" i="15"/>
  <c r="G19" i="15"/>
  <c r="E19" i="15"/>
  <c r="F18" i="15"/>
  <c r="G16" i="15"/>
  <c r="D20" i="15"/>
  <c r="E16" i="15"/>
  <c r="G20" i="15"/>
  <c r="F17" i="15"/>
  <c r="F15" i="15"/>
  <c r="H15" i="15"/>
  <c r="F14" i="15"/>
  <c r="E20" i="15"/>
  <c r="D16" i="15"/>
  <c r="D22" i="15" l="1"/>
  <c r="F21" i="15"/>
  <c r="H21" i="15"/>
  <c r="F19" i="15"/>
  <c r="H19" i="15"/>
  <c r="E22" i="15"/>
  <c r="G22" i="15"/>
  <c r="F20" i="15"/>
  <c r="F16" i="15"/>
  <c r="H16" i="15"/>
  <c r="M1" i="15"/>
  <c r="H8" i="15"/>
  <c r="H22" i="15" l="1"/>
  <c r="F22" i="15"/>
  <c r="H30" i="13" l="1"/>
  <c r="E6" i="16" l="1"/>
  <c r="H17" i="15" l="1"/>
  <c r="H14" i="15"/>
  <c r="H12" i="15"/>
  <c r="H11" i="15"/>
  <c r="H10" i="15"/>
  <c r="H9" i="15"/>
  <c r="H7" i="15"/>
  <c r="H6" i="15"/>
  <c r="H5" i="15"/>
  <c r="H4" i="15"/>
  <c r="H3" i="15"/>
  <c r="F12" i="15"/>
  <c r="F11" i="15"/>
  <c r="F10" i="15"/>
  <c r="F9" i="15"/>
  <c r="F8" i="15"/>
  <c r="F7" i="15"/>
  <c r="F6" i="15"/>
  <c r="F5" i="15"/>
  <c r="F4" i="15"/>
  <c r="P13" i="16"/>
  <c r="O13" i="16"/>
  <c r="N13" i="16"/>
  <c r="M13" i="16"/>
  <c r="L13" i="16"/>
  <c r="K13" i="16"/>
  <c r="J13" i="16"/>
  <c r="E11" i="16"/>
  <c r="E10" i="16"/>
  <c r="E9" i="16"/>
  <c r="E7" i="16"/>
  <c r="I14" i="16" l="1"/>
  <c r="H20" i="15"/>
  <c r="E13" i="16"/>
  <c r="M14" i="16"/>
  <c r="H52" i="13"/>
  <c r="Q14" i="16" l="1"/>
  <c r="G7" i="13" l="1"/>
  <c r="H46" i="13" l="1"/>
  <c r="H45" i="13"/>
  <c r="U4" i="3" l="1"/>
  <c r="AD52" i="3" s="1"/>
  <c r="AD50" i="3" l="1"/>
  <c r="AC52" i="3"/>
  <c r="AD53" i="3"/>
  <c r="AD51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H48" i="13" l="1"/>
  <c r="H50" i="13"/>
  <c r="N41" i="3"/>
  <c r="A1" i="13" l="1"/>
  <c r="D60" i="13" s="1"/>
  <c r="D58" i="13" l="1"/>
  <c r="D59" i="13"/>
  <c r="D57" i="13"/>
  <c r="D61" i="13"/>
  <c r="D34" i="13"/>
  <c r="D33" i="13"/>
  <c r="J33" i="13" s="1"/>
  <c r="D56" i="13"/>
  <c r="D26" i="13"/>
  <c r="J26" i="13" s="1"/>
  <c r="D54" i="13"/>
  <c r="J54" i="13" s="1"/>
  <c r="D55" i="13"/>
  <c r="J55" i="13" s="1"/>
  <c r="D53" i="13"/>
  <c r="J53" i="13" s="1"/>
  <c r="D32" i="13"/>
  <c r="J32" i="13" s="1"/>
  <c r="D52" i="13"/>
  <c r="J52" i="13" s="1"/>
  <c r="D30" i="13"/>
  <c r="J30" i="13" s="1"/>
  <c r="J35" i="13"/>
  <c r="D51" i="13"/>
  <c r="J51" i="13" s="1"/>
  <c r="D47" i="13"/>
  <c r="J47" i="13" s="1"/>
  <c r="D25" i="13"/>
  <c r="J25" i="13" s="1"/>
  <c r="D45" i="13"/>
  <c r="J45" i="13" s="1"/>
  <c r="D46" i="13"/>
  <c r="J46" i="13" s="1"/>
  <c r="D50" i="13"/>
  <c r="J50" i="13" s="1"/>
  <c r="D48" i="13"/>
  <c r="J48" i="13" s="1"/>
  <c r="D49" i="13"/>
  <c r="J49" i="13" s="1"/>
  <c r="H43" i="13"/>
  <c r="H42" i="13"/>
  <c r="H31" i="13"/>
  <c r="H24" i="13"/>
  <c r="H23" i="13"/>
  <c r="H21" i="13"/>
  <c r="H20" i="13"/>
  <c r="H18" i="13"/>
  <c r="H17" i="13"/>
  <c r="H14" i="13"/>
  <c r="H11" i="13"/>
  <c r="H4" i="13"/>
  <c r="J38" i="13" l="1"/>
  <c r="J37" i="13"/>
  <c r="J9" i="13"/>
  <c r="J8" i="13"/>
  <c r="D40" i="13"/>
  <c r="J40" i="13" s="1"/>
  <c r="D44" i="13"/>
  <c r="J44" i="13" s="1"/>
  <c r="D43" i="13"/>
  <c r="J43" i="13" s="1"/>
  <c r="D42" i="13"/>
  <c r="J42" i="13" s="1"/>
  <c r="D41" i="13"/>
  <c r="J41" i="13" s="1"/>
  <c r="D39" i="13"/>
  <c r="J39" i="13" s="1"/>
  <c r="D31" i="13"/>
  <c r="J31" i="13" s="1"/>
  <c r="D29" i="13"/>
  <c r="J29" i="13" s="1"/>
  <c r="D28" i="13"/>
  <c r="J28" i="13" s="1"/>
  <c r="D27" i="13"/>
  <c r="J27" i="13" s="1"/>
  <c r="D21" i="13"/>
  <c r="J21" i="13" s="1"/>
  <c r="D20" i="13"/>
  <c r="J20" i="13" s="1"/>
  <c r="D19" i="13"/>
  <c r="J19" i="13" s="1"/>
  <c r="D15" i="13"/>
  <c r="J15" i="13" s="1"/>
  <c r="D14" i="13"/>
  <c r="J14" i="13" s="1"/>
  <c r="D13" i="13"/>
  <c r="J13" i="13" s="1"/>
  <c r="D12" i="13"/>
  <c r="J12" i="13" s="1"/>
  <c r="D11" i="13"/>
  <c r="J11" i="13" s="1"/>
  <c r="D10" i="13"/>
  <c r="J10" i="13" s="1"/>
  <c r="D18" i="13"/>
  <c r="J18" i="13" s="1"/>
  <c r="D17" i="13"/>
  <c r="J17" i="13" s="1"/>
  <c r="D16" i="13"/>
  <c r="J16" i="13" s="1"/>
  <c r="D24" i="13"/>
  <c r="J24" i="13" s="1"/>
  <c r="D23" i="13"/>
  <c r="J23" i="13" s="1"/>
  <c r="D22" i="13"/>
  <c r="J22" i="13" s="1"/>
  <c r="D6" i="13"/>
  <c r="J6" i="13" s="1"/>
  <c r="D5" i="13"/>
  <c r="J5" i="13" s="1"/>
  <c r="D4" i="13"/>
  <c r="J4" i="13" s="1"/>
  <c r="D3" i="13"/>
  <c r="J3" i="13" s="1"/>
  <c r="K37" i="3" l="1"/>
  <c r="N37" i="3"/>
  <c r="AJ5" i="2" l="1"/>
  <c r="B3" i="3" s="1"/>
  <c r="B62" i="3" s="1"/>
  <c r="AI5" i="2"/>
  <c r="M152" i="12"/>
  <c r="M151" i="12"/>
  <c r="M150" i="12"/>
  <c r="M149" i="12"/>
  <c r="M148" i="12"/>
  <c r="M147" i="12"/>
  <c r="M146" i="12"/>
  <c r="M145" i="12"/>
  <c r="M144" i="12"/>
  <c r="M143" i="12"/>
  <c r="M142" i="12"/>
  <c r="M141" i="12"/>
  <c r="M140" i="12"/>
  <c r="M139" i="12"/>
  <c r="M138" i="12"/>
  <c r="M137" i="12"/>
  <c r="M136" i="12"/>
  <c r="M135" i="12"/>
  <c r="M134" i="12"/>
  <c r="M133" i="12"/>
  <c r="M132" i="12"/>
  <c r="M131" i="12"/>
  <c r="M130" i="12"/>
  <c r="M129" i="12"/>
  <c r="M128" i="12"/>
  <c r="M127" i="12"/>
  <c r="M126" i="12"/>
  <c r="M125" i="12"/>
  <c r="M124" i="12"/>
  <c r="M123" i="12"/>
  <c r="M122" i="12"/>
  <c r="M121" i="12"/>
  <c r="M120" i="12"/>
  <c r="M119" i="12"/>
  <c r="M118" i="12"/>
  <c r="M117" i="12"/>
  <c r="M116" i="12"/>
  <c r="M115" i="12"/>
  <c r="M114" i="12"/>
  <c r="M113" i="12"/>
  <c r="M112" i="12"/>
  <c r="M111" i="12"/>
  <c r="M110" i="12"/>
  <c r="M109" i="12"/>
  <c r="M108" i="12"/>
  <c r="M107" i="12"/>
  <c r="M106" i="12"/>
  <c r="M105" i="12"/>
  <c r="M104" i="12"/>
  <c r="M103" i="12"/>
  <c r="M102" i="12"/>
  <c r="M101" i="12"/>
  <c r="M100" i="12"/>
  <c r="M99" i="12"/>
  <c r="M98" i="12"/>
  <c r="M97" i="12"/>
  <c r="M96" i="12"/>
  <c r="M95" i="12"/>
  <c r="M94" i="12"/>
  <c r="M93" i="12"/>
  <c r="M92" i="12"/>
  <c r="M91" i="12"/>
  <c r="M90" i="12"/>
  <c r="M89" i="12"/>
  <c r="M88" i="12"/>
  <c r="M87" i="12"/>
  <c r="M86" i="12"/>
  <c r="M85" i="12"/>
  <c r="M84" i="12"/>
  <c r="M83" i="12"/>
  <c r="M82" i="12"/>
  <c r="M81" i="12"/>
  <c r="M80" i="12"/>
  <c r="M79" i="12"/>
  <c r="M78" i="12"/>
  <c r="M77" i="12"/>
  <c r="M76" i="12"/>
  <c r="M75" i="12"/>
  <c r="M74" i="12"/>
  <c r="M73" i="12"/>
  <c r="M72" i="12"/>
  <c r="M71" i="12"/>
  <c r="M70" i="12"/>
  <c r="M69" i="12"/>
  <c r="M68" i="12"/>
  <c r="M67" i="12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4" i="12"/>
  <c r="K4" i="12"/>
  <c r="K36" i="12"/>
  <c r="AC112" i="3"/>
  <c r="AC111" i="3"/>
  <c r="AC110" i="3"/>
  <c r="AC109" i="3"/>
  <c r="AC108" i="3"/>
  <c r="AC107" i="3"/>
  <c r="AC106" i="3"/>
  <c r="AC105" i="3"/>
  <c r="AC104" i="3"/>
  <c r="AC103" i="3"/>
  <c r="AC102" i="3"/>
  <c r="AC101" i="3"/>
  <c r="AC100" i="3"/>
  <c r="AC99" i="3"/>
  <c r="AC98" i="3"/>
  <c r="AC97" i="3"/>
  <c r="AC96" i="3"/>
  <c r="AC95" i="3"/>
  <c r="AC94" i="3"/>
  <c r="AC93" i="3"/>
  <c r="AC92" i="3"/>
  <c r="AC91" i="3"/>
  <c r="AC90" i="3"/>
  <c r="AC89" i="3"/>
  <c r="AC88" i="3"/>
  <c r="AC87" i="3"/>
  <c r="AC86" i="3"/>
  <c r="AC85" i="3"/>
  <c r="AC84" i="3"/>
  <c r="AC83" i="3"/>
  <c r="AC82" i="3"/>
  <c r="AC81" i="3"/>
  <c r="AC80" i="3"/>
  <c r="AC79" i="3"/>
  <c r="AC78" i="3"/>
  <c r="AC77" i="3"/>
  <c r="AC76" i="3"/>
  <c r="AC75" i="3"/>
  <c r="AC74" i="3"/>
  <c r="AC73" i="3"/>
  <c r="AC72" i="3"/>
  <c r="AC71" i="3"/>
  <c r="AC70" i="3"/>
  <c r="AC69" i="3"/>
  <c r="AC68" i="3"/>
  <c r="AC67" i="3"/>
  <c r="AC66" i="3"/>
  <c r="AC65" i="3"/>
  <c r="AC53" i="3"/>
  <c r="K38" i="12"/>
  <c r="K10" i="3"/>
  <c r="C114" i="3"/>
  <c r="K22" i="3"/>
  <c r="K54" i="3"/>
  <c r="K53" i="3"/>
  <c r="K51" i="3"/>
  <c r="K50" i="3"/>
  <c r="K49" i="3"/>
  <c r="K48" i="3"/>
  <c r="K47" i="3"/>
  <c r="K46" i="3"/>
  <c r="K45" i="3"/>
  <c r="K44" i="3"/>
  <c r="K43" i="3"/>
  <c r="K41" i="3"/>
  <c r="K39" i="3"/>
  <c r="K32" i="3"/>
  <c r="K33" i="3"/>
  <c r="K30" i="3"/>
  <c r="K12" i="3"/>
  <c r="K31" i="3"/>
  <c r="K16" i="3"/>
  <c r="K13" i="3"/>
  <c r="K27" i="3"/>
  <c r="K18" i="3"/>
  <c r="K35" i="3"/>
  <c r="K14" i="3"/>
  <c r="K40" i="3"/>
  <c r="K42" i="3"/>
  <c r="K19" i="3"/>
  <c r="K36" i="3"/>
  <c r="K34" i="3"/>
  <c r="K28" i="3"/>
  <c r="K20" i="3"/>
  <c r="K38" i="3"/>
  <c r="K11" i="3"/>
  <c r="K9" i="3"/>
  <c r="K29" i="3"/>
  <c r="K26" i="3"/>
  <c r="K23" i="3"/>
  <c r="K15" i="3"/>
  <c r="K25" i="3"/>
  <c r="K17" i="3"/>
  <c r="K8" i="3"/>
  <c r="K24" i="3"/>
  <c r="K7" i="3"/>
  <c r="K152" i="12"/>
  <c r="K151" i="12"/>
  <c r="K150" i="12"/>
  <c r="K149" i="12"/>
  <c r="K148" i="12"/>
  <c r="K147" i="12"/>
  <c r="K146" i="12"/>
  <c r="K145" i="12"/>
  <c r="K144" i="12"/>
  <c r="K143" i="12"/>
  <c r="K142" i="12"/>
  <c r="K141" i="12"/>
  <c r="K140" i="12"/>
  <c r="K139" i="12"/>
  <c r="K138" i="12"/>
  <c r="K137" i="12"/>
  <c r="K136" i="12"/>
  <c r="K135" i="12"/>
  <c r="K134" i="12"/>
  <c r="K133" i="12"/>
  <c r="K132" i="12"/>
  <c r="K131" i="12"/>
  <c r="K130" i="12"/>
  <c r="K129" i="12"/>
  <c r="K128" i="12"/>
  <c r="K127" i="12"/>
  <c r="K126" i="12"/>
  <c r="K125" i="12"/>
  <c r="K124" i="12"/>
  <c r="K123" i="12"/>
  <c r="K122" i="12"/>
  <c r="K121" i="12"/>
  <c r="K120" i="12"/>
  <c r="K119" i="12"/>
  <c r="K118" i="12"/>
  <c r="K117" i="12"/>
  <c r="K116" i="12"/>
  <c r="K115" i="12"/>
  <c r="K114" i="12"/>
  <c r="K113" i="12"/>
  <c r="K112" i="12"/>
  <c r="K111" i="12"/>
  <c r="K110" i="12"/>
  <c r="K109" i="12"/>
  <c r="K108" i="12"/>
  <c r="K107" i="12"/>
  <c r="K106" i="12"/>
  <c r="K105" i="12"/>
  <c r="K104" i="12"/>
  <c r="K103" i="12"/>
  <c r="K102" i="12"/>
  <c r="K101" i="12"/>
  <c r="K100" i="12"/>
  <c r="K99" i="12"/>
  <c r="K98" i="12"/>
  <c r="K97" i="12"/>
  <c r="K96" i="12"/>
  <c r="K95" i="12"/>
  <c r="K94" i="12"/>
  <c r="K93" i="12"/>
  <c r="K92" i="12"/>
  <c r="K91" i="12"/>
  <c r="K90" i="12"/>
  <c r="K89" i="12"/>
  <c r="K88" i="12"/>
  <c r="K87" i="12"/>
  <c r="K86" i="12"/>
  <c r="K85" i="12"/>
  <c r="K84" i="12"/>
  <c r="K83" i="12"/>
  <c r="K82" i="12"/>
  <c r="K81" i="12"/>
  <c r="K80" i="12"/>
  <c r="K79" i="12"/>
  <c r="K78" i="12"/>
  <c r="K77" i="12"/>
  <c r="K76" i="12"/>
  <c r="K75" i="12"/>
  <c r="K74" i="12"/>
  <c r="K73" i="12"/>
  <c r="K72" i="12"/>
  <c r="K71" i="12"/>
  <c r="K70" i="12"/>
  <c r="K69" i="12"/>
  <c r="K68" i="12"/>
  <c r="K67" i="12"/>
  <c r="K66" i="12"/>
  <c r="K65" i="12"/>
  <c r="K64" i="12"/>
  <c r="K63" i="12"/>
  <c r="K62" i="12"/>
  <c r="K61" i="12"/>
  <c r="K60" i="12"/>
  <c r="K59" i="12"/>
  <c r="K58" i="12"/>
  <c r="K57" i="12"/>
  <c r="K56" i="12"/>
  <c r="K55" i="12"/>
  <c r="K54" i="12"/>
  <c r="K53" i="12"/>
  <c r="K52" i="12"/>
  <c r="K51" i="12"/>
  <c r="K50" i="12"/>
  <c r="K49" i="12"/>
  <c r="K48" i="12"/>
  <c r="K47" i="12"/>
  <c r="K46" i="12"/>
  <c r="K45" i="12"/>
  <c r="K44" i="12"/>
  <c r="K43" i="12"/>
  <c r="K42" i="12"/>
  <c r="K41" i="12"/>
  <c r="K40" i="12"/>
  <c r="K39" i="12"/>
  <c r="K37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K6" i="12"/>
  <c r="K5" i="12"/>
  <c r="AJ7" i="2"/>
  <c r="AJ6" i="2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AC49" i="3"/>
  <c r="N82" i="3"/>
  <c r="N101" i="3"/>
  <c r="N107" i="3"/>
  <c r="N111" i="3"/>
  <c r="N91" i="3"/>
  <c r="N81" i="3"/>
  <c r="N98" i="3"/>
  <c r="N83" i="3"/>
  <c r="N105" i="3"/>
  <c r="N74" i="3"/>
  <c r="N110" i="3"/>
  <c r="N84" i="3"/>
  <c r="N80" i="3"/>
  <c r="N93" i="3"/>
  <c r="N72" i="3"/>
  <c r="N70" i="3"/>
  <c r="N103" i="3"/>
  <c r="N71" i="3"/>
  <c r="N77" i="3"/>
  <c r="N106" i="3"/>
  <c r="N78" i="3"/>
  <c r="N99" i="3"/>
  <c r="N102" i="3"/>
  <c r="N109" i="3"/>
  <c r="N94" i="3"/>
  <c r="N85" i="3"/>
  <c r="N87" i="3"/>
  <c r="N75" i="3"/>
  <c r="N100" i="3"/>
  <c r="N73" i="3"/>
  <c r="N89" i="3"/>
  <c r="N92" i="3"/>
  <c r="N66" i="3"/>
  <c r="N69" i="3"/>
  <c r="N76" i="3"/>
  <c r="N68" i="3"/>
  <c r="N90" i="3"/>
  <c r="N95" i="3"/>
  <c r="N88" i="3"/>
  <c r="N67" i="3"/>
  <c r="N104" i="3"/>
  <c r="N96" i="3"/>
  <c r="N112" i="3"/>
  <c r="N79" i="3"/>
  <c r="N97" i="3"/>
  <c r="N108" i="3"/>
  <c r="N86" i="3"/>
  <c r="N32" i="3"/>
  <c r="N50" i="3"/>
  <c r="N22" i="3"/>
  <c r="N28" i="3"/>
  <c r="N43" i="3"/>
  <c r="N23" i="3"/>
  <c r="N20" i="3"/>
  <c r="N48" i="3"/>
  <c r="N26" i="3"/>
  <c r="N30" i="3"/>
  <c r="N13" i="3"/>
  <c r="N25" i="3"/>
  <c r="N11" i="3"/>
  <c r="N16" i="3"/>
  <c r="N38" i="3"/>
  <c r="N12" i="3"/>
  <c r="N29" i="3"/>
  <c r="N34" i="3"/>
  <c r="N35" i="3"/>
  <c r="N24" i="3"/>
  <c r="N31" i="3"/>
  <c r="N45" i="3"/>
  <c r="N40" i="3"/>
  <c r="N49" i="3"/>
  <c r="N18" i="3"/>
  <c r="N19" i="3"/>
  <c r="N46" i="3"/>
  <c r="N42" i="3"/>
  <c r="N27" i="3"/>
  <c r="N17" i="3"/>
  <c r="N8" i="3"/>
  <c r="N33" i="3"/>
  <c r="N10" i="3"/>
  <c r="N9" i="3"/>
  <c r="N44" i="3"/>
  <c r="N15" i="3"/>
  <c r="N21" i="3"/>
  <c r="N53" i="3"/>
  <c r="N36" i="3"/>
  <c r="N39" i="3"/>
  <c r="AC51" i="3" l="1"/>
  <c r="AC50" i="3"/>
  <c r="AC48" i="3"/>
  <c r="AC7" i="3"/>
  <c r="AC47" i="3"/>
  <c r="AC46" i="3"/>
  <c r="AC45" i="3"/>
  <c r="AC17" i="3"/>
  <c r="V113" i="3"/>
  <c r="V114" i="3" s="1"/>
  <c r="AC44" i="3"/>
  <c r="AC43" i="3"/>
  <c r="AC42" i="3"/>
  <c r="AC41" i="3"/>
  <c r="AC40" i="3"/>
  <c r="R114" i="3"/>
  <c r="T114" i="3"/>
  <c r="O114" i="3"/>
  <c r="Q114" i="3"/>
  <c r="P114" i="3"/>
  <c r="U114" i="3"/>
  <c r="AC22" i="3"/>
  <c r="AC20" i="3"/>
  <c r="AC18" i="3"/>
  <c r="AC39" i="3"/>
  <c r="AC31" i="3"/>
  <c r="AC9" i="3"/>
  <c r="AC27" i="3"/>
  <c r="AC10" i="3"/>
  <c r="AC35" i="3"/>
  <c r="AC36" i="3"/>
  <c r="U63" i="3"/>
  <c r="AC16" i="3"/>
  <c r="AC23" i="3"/>
  <c r="AC25" i="3"/>
  <c r="AC19" i="3"/>
  <c r="AC15" i="3"/>
  <c r="AC29" i="3"/>
  <c r="AC37" i="3"/>
  <c r="AC11" i="3"/>
  <c r="AC38" i="3"/>
  <c r="AC8" i="3"/>
  <c r="AC34" i="3"/>
  <c r="AC30" i="3"/>
  <c r="AC13" i="3"/>
  <c r="AC14" i="3"/>
  <c r="AC12" i="3"/>
  <c r="AC21" i="3"/>
  <c r="AC24" i="3"/>
  <c r="AC33" i="3"/>
  <c r="AC26" i="3"/>
  <c r="AC32" i="3"/>
  <c r="AC28" i="3"/>
  <c r="S114" i="3"/>
</calcChain>
</file>

<file path=xl/sharedStrings.xml><?xml version="1.0" encoding="utf-8"?>
<sst xmlns="http://schemas.openxmlformats.org/spreadsheetml/2006/main" count="1176" uniqueCount="453">
  <si>
    <t>A</t>
  </si>
  <si>
    <t>JJ</t>
    <phoneticPr fontId="3"/>
  </si>
  <si>
    <t>課長代理</t>
    <rPh sb="0" eb="2">
      <t>カチョウ</t>
    </rPh>
    <rPh sb="2" eb="4">
      <t>ダイリ</t>
    </rPh>
    <phoneticPr fontId="3"/>
  </si>
  <si>
    <t>本給</t>
    <rPh sb="0" eb="2">
      <t>ホンキュウ</t>
    </rPh>
    <phoneticPr fontId="3"/>
  </si>
  <si>
    <t>加給</t>
    <rPh sb="0" eb="2">
      <t>カキュウ</t>
    </rPh>
    <phoneticPr fontId="3"/>
  </si>
  <si>
    <t>家族手当</t>
    <rPh sb="0" eb="2">
      <t>カゾク</t>
    </rPh>
    <rPh sb="2" eb="4">
      <t>テアテ</t>
    </rPh>
    <phoneticPr fontId="3"/>
  </si>
  <si>
    <t>業績手当</t>
    <rPh sb="0" eb="2">
      <t>ギョウセキ</t>
    </rPh>
    <rPh sb="2" eb="4">
      <t>テアテ</t>
    </rPh>
    <phoneticPr fontId="3"/>
  </si>
  <si>
    <t>管理職
手当</t>
    <rPh sb="0" eb="3">
      <t>カンリショク</t>
    </rPh>
    <rPh sb="4" eb="6">
      <t>テアテ</t>
    </rPh>
    <phoneticPr fontId="3"/>
  </si>
  <si>
    <t>大都市
勤務手当</t>
    <rPh sb="0" eb="3">
      <t>ダイトシ</t>
    </rPh>
    <rPh sb="4" eb="6">
      <t>キンム</t>
    </rPh>
    <rPh sb="6" eb="8">
      <t>テアテ</t>
    </rPh>
    <phoneticPr fontId="3"/>
  </si>
  <si>
    <t>特殊作業
手当</t>
    <rPh sb="0" eb="2">
      <t>トクシュ</t>
    </rPh>
    <rPh sb="2" eb="4">
      <t>サギョウ</t>
    </rPh>
    <rPh sb="5" eb="7">
      <t>テアテ</t>
    </rPh>
    <phoneticPr fontId="3"/>
  </si>
  <si>
    <t>賃金合計</t>
    <rPh sb="0" eb="2">
      <t>チンギン</t>
    </rPh>
    <rPh sb="2" eb="4">
      <t>ゴウケイ</t>
    </rPh>
    <phoneticPr fontId="3"/>
  </si>
  <si>
    <t>所属
事業所</t>
    <rPh sb="0" eb="2">
      <t>ショゾク</t>
    </rPh>
    <rPh sb="3" eb="6">
      <t>ジギョウショ</t>
    </rPh>
    <phoneticPr fontId="3"/>
  </si>
  <si>
    <t>印刷
順序</t>
    <rPh sb="0" eb="2">
      <t>インサツ</t>
    </rPh>
    <rPh sb="3" eb="4">
      <t>ジュン</t>
    </rPh>
    <rPh sb="4" eb="5">
      <t>ジョ</t>
    </rPh>
    <phoneticPr fontId="3"/>
  </si>
  <si>
    <t>区分</t>
    <rPh sb="0" eb="2">
      <t>クブン</t>
    </rPh>
    <phoneticPr fontId="3"/>
  </si>
  <si>
    <t>社員
コード</t>
    <rPh sb="0" eb="2">
      <t>シャイン</t>
    </rPh>
    <phoneticPr fontId="3"/>
  </si>
  <si>
    <t>社員名</t>
    <rPh sb="0" eb="2">
      <t>シャイン</t>
    </rPh>
    <rPh sb="2" eb="3">
      <t>メイ</t>
    </rPh>
    <phoneticPr fontId="3"/>
  </si>
  <si>
    <t>性別</t>
    <rPh sb="0" eb="2">
      <t>セイベツ</t>
    </rPh>
    <phoneticPr fontId="3"/>
  </si>
  <si>
    <t>生年月日</t>
    <rPh sb="0" eb="2">
      <t>セイネン</t>
    </rPh>
    <rPh sb="2" eb="4">
      <t>ガッピ</t>
    </rPh>
    <phoneticPr fontId="3"/>
  </si>
  <si>
    <t>入社年月日</t>
    <rPh sb="0" eb="2">
      <t>ニュウシャ</t>
    </rPh>
    <rPh sb="2" eb="5">
      <t>ネンガッピ</t>
    </rPh>
    <phoneticPr fontId="3"/>
  </si>
  <si>
    <t>社員区</t>
    <rPh sb="0" eb="2">
      <t>シャイン</t>
    </rPh>
    <rPh sb="2" eb="3">
      <t>ク</t>
    </rPh>
    <phoneticPr fontId="3"/>
  </si>
  <si>
    <t>等級</t>
    <rPh sb="0" eb="2">
      <t>トウキュウ</t>
    </rPh>
    <phoneticPr fontId="3"/>
  </si>
  <si>
    <t>号数</t>
    <rPh sb="0" eb="2">
      <t>ゴウスウ</t>
    </rPh>
    <phoneticPr fontId="3"/>
  </si>
  <si>
    <t>管理職区分</t>
    <rPh sb="0" eb="3">
      <t>カンリショク</t>
    </rPh>
    <rPh sb="3" eb="5">
      <t>クブン</t>
    </rPh>
    <phoneticPr fontId="3"/>
  </si>
  <si>
    <t>削除欄</t>
    <rPh sb="0" eb="2">
      <t>サクジョ</t>
    </rPh>
    <rPh sb="2" eb="3">
      <t>ラン</t>
    </rPh>
    <phoneticPr fontId="3"/>
  </si>
  <si>
    <t>　グループ社員マスター登録リスト　</t>
    <rPh sb="5" eb="7">
      <t>シャイン</t>
    </rPh>
    <rPh sb="11" eb="13">
      <t>トウロク</t>
    </rPh>
    <phoneticPr fontId="3"/>
  </si>
  <si>
    <t>YY</t>
    <phoneticPr fontId="3"/>
  </si>
  <si>
    <t>役員</t>
    <rPh sb="0" eb="2">
      <t>ヤクイン</t>
    </rPh>
    <phoneticPr fontId="3"/>
  </si>
  <si>
    <t>SS</t>
    <phoneticPr fontId="3"/>
  </si>
  <si>
    <t>支店長</t>
    <rPh sb="0" eb="3">
      <t>シテンチョウ</t>
    </rPh>
    <phoneticPr fontId="3"/>
  </si>
  <si>
    <t>BB</t>
    <phoneticPr fontId="3"/>
  </si>
  <si>
    <t>部長</t>
    <rPh sb="0" eb="2">
      <t>ブチョウ</t>
    </rPh>
    <phoneticPr fontId="3"/>
  </si>
  <si>
    <t>次長</t>
    <rPh sb="0" eb="2">
      <t>ジチョウ</t>
    </rPh>
    <phoneticPr fontId="3"/>
  </si>
  <si>
    <t>課長</t>
    <rPh sb="0" eb="2">
      <t>カチョウ</t>
    </rPh>
    <phoneticPr fontId="3"/>
  </si>
  <si>
    <t>主任</t>
    <rPh sb="0" eb="2">
      <t>シュニン</t>
    </rPh>
    <phoneticPr fontId="3"/>
  </si>
  <si>
    <t>係長</t>
    <rPh sb="0" eb="2">
      <t>カカリチョウ</t>
    </rPh>
    <phoneticPr fontId="3"/>
  </si>
  <si>
    <t>班長</t>
    <rPh sb="0" eb="2">
      <t>ハンチョウ</t>
    </rPh>
    <phoneticPr fontId="3"/>
  </si>
  <si>
    <t>KK</t>
    <phoneticPr fontId="3"/>
  </si>
  <si>
    <t>KS</t>
    <phoneticPr fontId="3"/>
  </si>
  <si>
    <t>HK</t>
    <phoneticPr fontId="3"/>
  </si>
  <si>
    <t>HD</t>
    <phoneticPr fontId="3"/>
  </si>
  <si>
    <t>HH</t>
    <phoneticPr fontId="3"/>
  </si>
  <si>
    <t>Page.1</t>
    <phoneticPr fontId="3"/>
  </si>
  <si>
    <t>Page.2</t>
    <phoneticPr fontId="3"/>
  </si>
  <si>
    <t>東海アルコック工業㈱</t>
    <rPh sb="0" eb="2">
      <t>トウカイ</t>
    </rPh>
    <rPh sb="7" eb="9">
      <t>コウギョウ</t>
    </rPh>
    <phoneticPr fontId="3"/>
  </si>
  <si>
    <t>関東アルコック工業㈱</t>
    <rPh sb="0" eb="2">
      <t>カントウ</t>
    </rPh>
    <rPh sb="7" eb="9">
      <t>コウギョウ</t>
    </rPh>
    <phoneticPr fontId="3"/>
  </si>
  <si>
    <t>総　　計</t>
    <rPh sb="0" eb="1">
      <t>ソウ</t>
    </rPh>
    <rPh sb="3" eb="4">
      <t>ケイ</t>
    </rPh>
    <phoneticPr fontId="3"/>
  </si>
  <si>
    <t>印刷</t>
    <rPh sb="0" eb="2">
      <t>インサツ</t>
    </rPh>
    <phoneticPr fontId="3"/>
  </si>
  <si>
    <t>表示したい事業所　指定→</t>
    <rPh sb="0" eb="2">
      <t>ヒョウジ</t>
    </rPh>
    <rPh sb="5" eb="8">
      <t>ジギョウショ</t>
    </rPh>
    <rPh sb="9" eb="11">
      <t>シテイ</t>
    </rPh>
    <phoneticPr fontId="3"/>
  </si>
  <si>
    <t>グループ社員マスター保守メニュー</t>
    <rPh sb="4" eb="6">
      <t>シャイン</t>
    </rPh>
    <rPh sb="10" eb="12">
      <t>ホシュ</t>
    </rPh>
    <phoneticPr fontId="3"/>
  </si>
  <si>
    <t>事業所</t>
    <rPh sb="0" eb="3">
      <t>ジギョウショ</t>
    </rPh>
    <phoneticPr fontId="3"/>
  </si>
  <si>
    <t>表示</t>
    <rPh sb="0" eb="2">
      <t>ヒョウジ</t>
    </rPh>
    <phoneticPr fontId="3"/>
  </si>
  <si>
    <t>同期</t>
    <rPh sb="0" eb="2">
      <t>ドウキ</t>
    </rPh>
    <phoneticPr fontId="3"/>
  </si>
  <si>
    <t>パート
所定時間</t>
    <rPh sb="4" eb="6">
      <t>ショテイ</t>
    </rPh>
    <rPh sb="6" eb="8">
      <t>ジカン</t>
    </rPh>
    <phoneticPr fontId="3"/>
  </si>
  <si>
    <t>年齢</t>
    <rPh sb="0" eb="2">
      <t>ネンレイ</t>
    </rPh>
    <phoneticPr fontId="3"/>
  </si>
  <si>
    <t>支店区分</t>
    <rPh sb="0" eb="2">
      <t>シテン</t>
    </rPh>
    <rPh sb="2" eb="4">
      <t>クブン</t>
    </rPh>
    <phoneticPr fontId="18"/>
  </si>
  <si>
    <t>01</t>
    <phoneticPr fontId="18"/>
  </si>
  <si>
    <t>RO</t>
    <phoneticPr fontId="18"/>
  </si>
  <si>
    <t>営業部門</t>
    <rPh sb="0" eb="2">
      <t>エイギョウ</t>
    </rPh>
    <rPh sb="2" eb="4">
      <t>ブモン</t>
    </rPh>
    <phoneticPr fontId="18"/>
  </si>
  <si>
    <t>11</t>
  </si>
  <si>
    <t>区分</t>
    <rPh sb="0" eb="2">
      <t>クブン</t>
    </rPh>
    <phoneticPr fontId="18"/>
  </si>
  <si>
    <t>社員ｺｰﾄﾞ</t>
    <rPh sb="0" eb="2">
      <t>シャイン</t>
    </rPh>
    <phoneticPr fontId="18"/>
  </si>
  <si>
    <t>社員名</t>
    <rPh sb="0" eb="2">
      <t>シャイン</t>
    </rPh>
    <rPh sb="2" eb="3">
      <t>メイ</t>
    </rPh>
    <phoneticPr fontId="18"/>
  </si>
  <si>
    <t>種</t>
    <rPh sb="0" eb="1">
      <t>シュ</t>
    </rPh>
    <phoneticPr fontId="18"/>
  </si>
  <si>
    <t>等級</t>
    <rPh sb="0" eb="2">
      <t>トウキュウ</t>
    </rPh>
    <phoneticPr fontId="18"/>
  </si>
  <si>
    <t>給与1</t>
    <rPh sb="0" eb="2">
      <t>キュウヨ</t>
    </rPh>
    <phoneticPr fontId="18"/>
  </si>
  <si>
    <t>給与2</t>
    <rPh sb="0" eb="2">
      <t>キュウヨ</t>
    </rPh>
    <phoneticPr fontId="18"/>
  </si>
  <si>
    <t>管理手</t>
    <rPh sb="0" eb="2">
      <t>カンリ</t>
    </rPh>
    <rPh sb="2" eb="3">
      <t>テ</t>
    </rPh>
    <phoneticPr fontId="18"/>
  </si>
  <si>
    <t>家族手</t>
    <rPh sb="0" eb="2">
      <t>カゾク</t>
    </rPh>
    <rPh sb="2" eb="3">
      <t>テ</t>
    </rPh>
    <phoneticPr fontId="18"/>
  </si>
  <si>
    <t>賞与区分</t>
    <rPh sb="0" eb="2">
      <t>ショウヨ</t>
    </rPh>
    <rPh sb="2" eb="4">
      <t>クブン</t>
    </rPh>
    <phoneticPr fontId="18"/>
  </si>
  <si>
    <t>賞与区分名</t>
    <rPh sb="0" eb="2">
      <t>ショウヨ</t>
    </rPh>
    <rPh sb="2" eb="4">
      <t>クブン</t>
    </rPh>
    <rPh sb="4" eb="5">
      <t>メイ</t>
    </rPh>
    <phoneticPr fontId="18"/>
  </si>
  <si>
    <t>部署区分</t>
    <rPh sb="0" eb="2">
      <t>ブショ</t>
    </rPh>
    <rPh sb="2" eb="4">
      <t>クブン</t>
    </rPh>
    <phoneticPr fontId="18"/>
  </si>
  <si>
    <t>部署名</t>
    <rPh sb="0" eb="2">
      <t>ブショ</t>
    </rPh>
    <rPh sb="2" eb="3">
      <t>メイ</t>
    </rPh>
    <phoneticPr fontId="18"/>
  </si>
  <si>
    <t>1</t>
    <phoneticPr fontId="18"/>
  </si>
  <si>
    <t>大阪</t>
    <rPh sb="0" eb="2">
      <t>オオサカ</t>
    </rPh>
    <phoneticPr fontId="18"/>
  </si>
  <si>
    <t>02</t>
    <phoneticPr fontId="18"/>
  </si>
  <si>
    <t>工事部門</t>
    <rPh sb="0" eb="2">
      <t>コウジ</t>
    </rPh>
    <rPh sb="2" eb="4">
      <t>ブモン</t>
    </rPh>
    <phoneticPr fontId="18"/>
  </si>
  <si>
    <t>12</t>
  </si>
  <si>
    <t>4</t>
  </si>
  <si>
    <t>13</t>
  </si>
  <si>
    <t>2</t>
    <phoneticPr fontId="18"/>
  </si>
  <si>
    <t>02</t>
    <phoneticPr fontId="18"/>
  </si>
  <si>
    <t>RT</t>
    <phoneticPr fontId="18"/>
  </si>
  <si>
    <t>東京</t>
    <rPh sb="0" eb="2">
      <t>トウキョウ</t>
    </rPh>
    <phoneticPr fontId="18"/>
  </si>
  <si>
    <t>03</t>
    <phoneticPr fontId="18"/>
  </si>
  <si>
    <t>システム部門</t>
    <rPh sb="4" eb="6">
      <t>ブモン</t>
    </rPh>
    <phoneticPr fontId="18"/>
  </si>
  <si>
    <t>19</t>
  </si>
  <si>
    <t>3</t>
    <phoneticPr fontId="18"/>
  </si>
  <si>
    <t>RH</t>
    <phoneticPr fontId="18"/>
  </si>
  <si>
    <t>本部</t>
    <rPh sb="0" eb="2">
      <t>ホンブ</t>
    </rPh>
    <phoneticPr fontId="18"/>
  </si>
  <si>
    <t>04</t>
    <phoneticPr fontId="18"/>
  </si>
  <si>
    <t>管理部門</t>
    <rPh sb="0" eb="2">
      <t>カンリ</t>
    </rPh>
    <rPh sb="2" eb="4">
      <t>ブモン</t>
    </rPh>
    <phoneticPr fontId="18"/>
  </si>
  <si>
    <t>14</t>
  </si>
  <si>
    <t>4</t>
    <phoneticPr fontId="18"/>
  </si>
  <si>
    <t>RX</t>
    <phoneticPr fontId="18"/>
  </si>
  <si>
    <t>役員</t>
    <rPh sb="0" eb="2">
      <t>ヤクイン</t>
    </rPh>
    <phoneticPr fontId="18"/>
  </si>
  <si>
    <t>05</t>
    <phoneticPr fontId="18"/>
  </si>
  <si>
    <t>その他</t>
    <rPh sb="2" eb="3">
      <t>タ</t>
    </rPh>
    <phoneticPr fontId="18"/>
  </si>
  <si>
    <t>15</t>
  </si>
  <si>
    <t>3</t>
  </si>
  <si>
    <t>5</t>
    <phoneticPr fontId="18"/>
  </si>
  <si>
    <t>KA</t>
    <phoneticPr fontId="18"/>
  </si>
  <si>
    <t>関東</t>
    <rPh sb="0" eb="2">
      <t>カントウ</t>
    </rPh>
    <phoneticPr fontId="18"/>
  </si>
  <si>
    <t>16</t>
  </si>
  <si>
    <t>6</t>
    <phoneticPr fontId="18"/>
  </si>
  <si>
    <t>06</t>
    <phoneticPr fontId="18"/>
  </si>
  <si>
    <t>TA</t>
    <phoneticPr fontId="18"/>
  </si>
  <si>
    <t>東海</t>
    <rPh sb="0" eb="2">
      <t>トウカイ</t>
    </rPh>
    <phoneticPr fontId="18"/>
  </si>
  <si>
    <t>17</t>
  </si>
  <si>
    <t>18</t>
  </si>
  <si>
    <t>20</t>
  </si>
  <si>
    <t>21</t>
  </si>
  <si>
    <t>22</t>
  </si>
  <si>
    <t>2</t>
  </si>
  <si>
    <t>23</t>
  </si>
  <si>
    <t>24</t>
  </si>
  <si>
    <t>25</t>
  </si>
  <si>
    <t>26</t>
  </si>
  <si>
    <t>27</t>
  </si>
  <si>
    <t>29</t>
  </si>
  <si>
    <t>東京支店</t>
    <rPh sb="0" eb="2">
      <t>トウキョウ</t>
    </rPh>
    <rPh sb="2" eb="4">
      <t>シテン</t>
    </rPh>
    <phoneticPr fontId="18"/>
  </si>
  <si>
    <t>30</t>
  </si>
  <si>
    <t>31</t>
  </si>
  <si>
    <t>貿易部</t>
    <rPh sb="0" eb="2">
      <t>ボウエキ</t>
    </rPh>
    <rPh sb="2" eb="3">
      <t>ブ</t>
    </rPh>
    <phoneticPr fontId="18"/>
  </si>
  <si>
    <t>32</t>
  </si>
  <si>
    <t>システム部</t>
    <rPh sb="4" eb="5">
      <t>ブ</t>
    </rPh>
    <phoneticPr fontId="18"/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</si>
  <si>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</si>
  <si>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</si>
  <si>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</si>
  <si>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</si>
  <si>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</si>
  <si>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</si>
  <si>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</si>
  <si>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</si>
  <si>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</si>
  <si>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</si>
  <si>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</si>
  <si>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製造</t>
    <rPh sb="0" eb="2">
      <t>セイゾウ</t>
    </rPh>
    <phoneticPr fontId="18"/>
  </si>
  <si>
    <t>44</t>
  </si>
  <si>
    <t>45</t>
  </si>
  <si>
    <t>46</t>
  </si>
  <si>
    <t>47</t>
  </si>
  <si>
    <t>48</t>
  </si>
  <si>
    <t>49</t>
  </si>
  <si>
    <t>東海ｱﾙｺｯｸ</t>
    <rPh sb="0" eb="2">
      <t>トウカイ</t>
    </rPh>
    <phoneticPr fontId="18"/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</si>
  <si>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</si>
  <si>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</si>
  <si>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</si>
  <si>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</si>
  <si>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</si>
  <si>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</si>
  <si>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</si>
  <si>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</si>
  <si>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</si>
  <si>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</si>
  <si>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関東ｱﾙｺｯｸ</t>
    <rPh sb="0" eb="2">
      <t>カントウ</t>
    </rPh>
    <phoneticPr fontId="18"/>
  </si>
  <si>
    <t>東京加工課</t>
    <rPh sb="0" eb="2">
      <t>トウキョウ</t>
    </rPh>
    <rPh sb="2" eb="4">
      <t>カコウ</t>
    </rPh>
    <rPh sb="4" eb="5">
      <t>カ</t>
    </rPh>
    <phoneticPr fontId="18"/>
  </si>
  <si>
    <t>28</t>
    <phoneticPr fontId="3"/>
  </si>
  <si>
    <t>60</t>
    <phoneticPr fontId="3"/>
  </si>
  <si>
    <t>非常勤・休業</t>
    <rPh sb="0" eb="3">
      <t>ヒジョウキン</t>
    </rPh>
    <rPh sb="4" eb="6">
      <t>キュウギョウ</t>
    </rPh>
    <phoneticPr fontId="18"/>
  </si>
  <si>
    <t>大阪加工課</t>
    <rPh sb="0" eb="2">
      <t>オオサカ</t>
    </rPh>
    <rPh sb="2" eb="4">
      <t>カコウ</t>
    </rPh>
    <rPh sb="4" eb="5">
      <t>カ</t>
    </rPh>
    <phoneticPr fontId="3"/>
  </si>
  <si>
    <t>RH</t>
    <phoneticPr fontId="3"/>
  </si>
  <si>
    <t>RO</t>
    <phoneticPr fontId="3"/>
  </si>
  <si>
    <t>RT</t>
    <phoneticPr fontId="3"/>
  </si>
  <si>
    <t>TA</t>
    <phoneticPr fontId="3"/>
  </si>
  <si>
    <t>KA</t>
    <phoneticPr fontId="3"/>
  </si>
  <si>
    <t>鳥居金属興業㈱　本部</t>
    <rPh sb="0" eb="2">
      <t>トリイ</t>
    </rPh>
    <rPh sb="2" eb="4">
      <t>キンゾク</t>
    </rPh>
    <rPh sb="4" eb="6">
      <t>コウギョウ</t>
    </rPh>
    <rPh sb="8" eb="10">
      <t>ホンブ</t>
    </rPh>
    <phoneticPr fontId="3"/>
  </si>
  <si>
    <t>鳥居金属興業㈱　大阪支店</t>
    <rPh sb="8" eb="10">
      <t>オオサカ</t>
    </rPh>
    <rPh sb="10" eb="12">
      <t>シテン</t>
    </rPh>
    <phoneticPr fontId="3"/>
  </si>
  <si>
    <t>鳥居金属興業㈱　東京支店</t>
    <rPh sb="8" eb="10">
      <t>トウキョウ</t>
    </rPh>
    <rPh sb="10" eb="12">
      <t>シテン</t>
    </rPh>
    <phoneticPr fontId="3"/>
  </si>
  <si>
    <t>金久保誠</t>
    <rPh sb="0" eb="3">
      <t>カナクボ</t>
    </rPh>
    <rPh sb="3" eb="4">
      <t>マコト</t>
    </rPh>
    <phoneticPr fontId="3"/>
  </si>
  <si>
    <t>知子</t>
    <rPh sb="0" eb="2">
      <t>トモコ</t>
    </rPh>
    <phoneticPr fontId="3"/>
  </si>
  <si>
    <t>移動日</t>
    <rPh sb="0" eb="3">
      <t>イドウビ</t>
    </rPh>
    <phoneticPr fontId="3"/>
  </si>
  <si>
    <t>理由</t>
    <rPh sb="0" eb="2">
      <t>リユウ</t>
    </rPh>
    <phoneticPr fontId="3"/>
  </si>
  <si>
    <t>結婚</t>
    <rPh sb="0" eb="2">
      <t>ケッコン</t>
    </rPh>
    <phoneticPr fontId="3"/>
  </si>
  <si>
    <t>扶養者</t>
    <rPh sb="0" eb="3">
      <t>フヨウシャ</t>
    </rPh>
    <phoneticPr fontId="3"/>
  </si>
  <si>
    <t>被扶養者</t>
    <rPh sb="0" eb="4">
      <t>ヒフヨウシャ</t>
    </rPh>
    <phoneticPr fontId="3"/>
  </si>
  <si>
    <t>出生</t>
    <rPh sb="0" eb="2">
      <t>シュッセイ</t>
    </rPh>
    <phoneticPr fontId="3"/>
  </si>
  <si>
    <t>失業</t>
    <rPh sb="0" eb="2">
      <t>シツギョウ</t>
    </rPh>
    <phoneticPr fontId="3"/>
  </si>
  <si>
    <t>入社</t>
    <rPh sb="0" eb="2">
      <t>ニュウシャ</t>
    </rPh>
    <phoneticPr fontId="3"/>
  </si>
  <si>
    <t>田中泰広</t>
    <rPh sb="0" eb="2">
      <t>タナカ</t>
    </rPh>
    <rPh sb="2" eb="4">
      <t>ヤスヒロ</t>
    </rPh>
    <phoneticPr fontId="3"/>
  </si>
  <si>
    <t>千浩</t>
    <rPh sb="0" eb="2">
      <t>チヒロ</t>
    </rPh>
    <phoneticPr fontId="3"/>
  </si>
  <si>
    <t>高澤徹</t>
    <rPh sb="0" eb="2">
      <t>タカザワ</t>
    </rPh>
    <rPh sb="2" eb="3">
      <t>トオル</t>
    </rPh>
    <phoneticPr fontId="3"/>
  </si>
  <si>
    <t>洋子</t>
    <rPh sb="0" eb="2">
      <t>ヨウコ</t>
    </rPh>
    <phoneticPr fontId="3"/>
  </si>
  <si>
    <t>宏樹</t>
    <rPh sb="0" eb="2">
      <t>ヒロキ</t>
    </rPh>
    <phoneticPr fontId="3"/>
  </si>
  <si>
    <t>亮</t>
    <rPh sb="0" eb="1">
      <t>リョウ</t>
    </rPh>
    <phoneticPr fontId="3"/>
  </si>
  <si>
    <t>森田裕之</t>
    <rPh sb="0" eb="2">
      <t>モリタ</t>
    </rPh>
    <rPh sb="2" eb="4">
      <t>ヒロユキ</t>
    </rPh>
    <phoneticPr fontId="3"/>
  </si>
  <si>
    <t>千晴</t>
    <rPh sb="0" eb="2">
      <t>チハル</t>
    </rPh>
    <phoneticPr fontId="3"/>
  </si>
  <si>
    <t>祐佳莉</t>
    <rPh sb="0" eb="2">
      <t>ユカ</t>
    </rPh>
    <rPh sb="2" eb="3">
      <t>リ</t>
    </rPh>
    <phoneticPr fontId="3"/>
  </si>
  <si>
    <t>岡野雅次</t>
    <rPh sb="0" eb="2">
      <t>オカノ</t>
    </rPh>
    <rPh sb="2" eb="4">
      <t>マサツグ</t>
    </rPh>
    <phoneticPr fontId="3"/>
  </si>
  <si>
    <t>純子</t>
    <rPh sb="0" eb="1">
      <t>ジュン</t>
    </rPh>
    <rPh sb="1" eb="2">
      <t>コ</t>
    </rPh>
    <phoneticPr fontId="3"/>
  </si>
  <si>
    <t>智己</t>
    <rPh sb="0" eb="1">
      <t>トモ</t>
    </rPh>
    <rPh sb="1" eb="2">
      <t>オノレ</t>
    </rPh>
    <phoneticPr fontId="3"/>
  </si>
  <si>
    <t>智彩</t>
    <rPh sb="0" eb="1">
      <t>トモ</t>
    </rPh>
    <rPh sb="1" eb="2">
      <t>アヤ</t>
    </rPh>
    <phoneticPr fontId="3"/>
  </si>
  <si>
    <t>衛藤陽一</t>
    <rPh sb="0" eb="2">
      <t>エトウ</t>
    </rPh>
    <rPh sb="2" eb="4">
      <t>ヨウイチ</t>
    </rPh>
    <phoneticPr fontId="3"/>
  </si>
  <si>
    <t>あかね</t>
    <phoneticPr fontId="3"/>
  </si>
  <si>
    <t>堤義宣</t>
    <rPh sb="0" eb="1">
      <t>ツツミ</t>
    </rPh>
    <rPh sb="1" eb="3">
      <t>ヨシノブ</t>
    </rPh>
    <phoneticPr fontId="3"/>
  </si>
  <si>
    <t>陽子</t>
    <rPh sb="0" eb="2">
      <t>ヨウコ</t>
    </rPh>
    <phoneticPr fontId="3"/>
  </si>
  <si>
    <t>玲奈</t>
    <rPh sb="0" eb="2">
      <t>レナ</t>
    </rPh>
    <phoneticPr fontId="3"/>
  </si>
  <si>
    <t>敦也</t>
    <rPh sb="0" eb="2">
      <t>アツヤ</t>
    </rPh>
    <phoneticPr fontId="3"/>
  </si>
  <si>
    <t>真桜</t>
    <rPh sb="0" eb="1">
      <t>マコト</t>
    </rPh>
    <rPh sb="1" eb="2">
      <t>サクラ</t>
    </rPh>
    <phoneticPr fontId="3"/>
  </si>
  <si>
    <t>遼佑</t>
    <rPh sb="0" eb="2">
      <t>リョウスケ</t>
    </rPh>
    <phoneticPr fontId="3"/>
  </si>
  <si>
    <t>斎藤邦雄</t>
    <rPh sb="0" eb="2">
      <t>サイトウ</t>
    </rPh>
    <rPh sb="2" eb="4">
      <t>クニオ</t>
    </rPh>
    <phoneticPr fontId="3"/>
  </si>
  <si>
    <t>朋子</t>
    <rPh sb="0" eb="2">
      <t>トモコ</t>
    </rPh>
    <phoneticPr fontId="3"/>
  </si>
  <si>
    <t>克希</t>
    <rPh sb="0" eb="2">
      <t>カツキ</t>
    </rPh>
    <phoneticPr fontId="3"/>
  </si>
  <si>
    <t>早智子</t>
    <rPh sb="0" eb="3">
      <t>サチコ</t>
    </rPh>
    <phoneticPr fontId="3"/>
  </si>
  <si>
    <t>中西俊介</t>
    <rPh sb="0" eb="2">
      <t>ナカニシ</t>
    </rPh>
    <rPh sb="2" eb="4">
      <t>シュンスケ</t>
    </rPh>
    <phoneticPr fontId="3"/>
  </si>
  <si>
    <t>柴田真人</t>
    <rPh sb="0" eb="2">
      <t>シバタ</t>
    </rPh>
    <rPh sb="2" eb="4">
      <t>マサト</t>
    </rPh>
    <phoneticPr fontId="3"/>
  </si>
  <si>
    <t>幸子</t>
    <rPh sb="0" eb="2">
      <t>サチコ</t>
    </rPh>
    <phoneticPr fontId="3"/>
  </si>
  <si>
    <t>紗輝</t>
    <rPh sb="0" eb="1">
      <t>サ</t>
    </rPh>
    <rPh sb="1" eb="2">
      <t>カガヤ</t>
    </rPh>
    <phoneticPr fontId="3"/>
  </si>
  <si>
    <t>竜希</t>
    <rPh sb="0" eb="1">
      <t>リュウ</t>
    </rPh>
    <rPh sb="1" eb="2">
      <t>ノゾミ</t>
    </rPh>
    <phoneticPr fontId="3"/>
  </si>
  <si>
    <t>小林裕平</t>
    <rPh sb="0" eb="2">
      <t>コバヤシ</t>
    </rPh>
    <rPh sb="2" eb="4">
      <t>ユウヘイ</t>
    </rPh>
    <phoneticPr fontId="3"/>
  </si>
  <si>
    <t>美樹</t>
    <rPh sb="0" eb="2">
      <t>ミキ</t>
    </rPh>
    <phoneticPr fontId="3"/>
  </si>
  <si>
    <t>千紘</t>
    <rPh sb="0" eb="2">
      <t>チヒロ</t>
    </rPh>
    <phoneticPr fontId="3"/>
  </si>
  <si>
    <t>良子</t>
    <rPh sb="0" eb="2">
      <t>ヨシコ</t>
    </rPh>
    <phoneticPr fontId="3"/>
  </si>
  <si>
    <t>野田祐助</t>
    <rPh sb="0" eb="2">
      <t>ノダ</t>
    </rPh>
    <rPh sb="2" eb="3">
      <t>ユウ</t>
    </rPh>
    <rPh sb="3" eb="4">
      <t>スケ</t>
    </rPh>
    <phoneticPr fontId="3"/>
  </si>
  <si>
    <t>泰千</t>
    <rPh sb="0" eb="1">
      <t>ヤス</t>
    </rPh>
    <rPh sb="1" eb="2">
      <t>セン</t>
    </rPh>
    <phoneticPr fontId="3"/>
  </si>
  <si>
    <t>手当</t>
    <rPh sb="0" eb="2">
      <t>テアテ</t>
    </rPh>
    <phoneticPr fontId="3"/>
  </si>
  <si>
    <t>抹消日</t>
    <rPh sb="0" eb="2">
      <t>マッショウ</t>
    </rPh>
    <rPh sb="2" eb="3">
      <t>ビ</t>
    </rPh>
    <phoneticPr fontId="3"/>
  </si>
  <si>
    <t>神崎耕</t>
    <rPh sb="0" eb="2">
      <t>カンザキ</t>
    </rPh>
    <rPh sb="2" eb="3">
      <t>コウ</t>
    </rPh>
    <phoneticPr fontId="3"/>
  </si>
  <si>
    <t>琴美</t>
    <rPh sb="0" eb="1">
      <t>コト</t>
    </rPh>
    <rPh sb="1" eb="2">
      <t>ミ</t>
    </rPh>
    <phoneticPr fontId="3"/>
  </si>
  <si>
    <t>圭一</t>
    <rPh sb="0" eb="1">
      <t>ケイ</t>
    </rPh>
    <rPh sb="1" eb="2">
      <t>イチ</t>
    </rPh>
    <phoneticPr fontId="3"/>
  </si>
  <si>
    <t>名前</t>
    <rPh sb="0" eb="2">
      <t>ナマエ</t>
    </rPh>
    <phoneticPr fontId="3"/>
  </si>
  <si>
    <t>配偶者</t>
    <rPh sb="0" eb="3">
      <t>ハイグウシャ</t>
    </rPh>
    <phoneticPr fontId="3"/>
  </si>
  <si>
    <t>第１子</t>
    <rPh sb="0" eb="1">
      <t>ダイ</t>
    </rPh>
    <rPh sb="2" eb="3">
      <t>コ</t>
    </rPh>
    <phoneticPr fontId="3"/>
  </si>
  <si>
    <t>第２子</t>
    <rPh sb="0" eb="1">
      <t>ダイ</t>
    </rPh>
    <rPh sb="2" eb="3">
      <t>コ</t>
    </rPh>
    <phoneticPr fontId="3"/>
  </si>
  <si>
    <t>市橋　健</t>
    <phoneticPr fontId="3"/>
  </si>
  <si>
    <t>麻衣</t>
    <rPh sb="0" eb="2">
      <t>マイ</t>
    </rPh>
    <phoneticPr fontId="3"/>
  </si>
  <si>
    <t>加藤　翔吾</t>
    <phoneticPr fontId="3"/>
  </si>
  <si>
    <t>亜希子</t>
    <rPh sb="0" eb="3">
      <t>アキコ</t>
    </rPh>
    <phoneticPr fontId="3"/>
  </si>
  <si>
    <t>空</t>
    <rPh sb="0" eb="1">
      <t>ソラ</t>
    </rPh>
    <phoneticPr fontId="3"/>
  </si>
  <si>
    <t>來</t>
    <rPh sb="0" eb="1">
      <t>ライ</t>
    </rPh>
    <phoneticPr fontId="3"/>
  </si>
  <si>
    <t>市橋　健</t>
  </si>
  <si>
    <t>特殊作業
特別手当</t>
    <rPh sb="0" eb="2">
      <t>トクシュ</t>
    </rPh>
    <rPh sb="2" eb="4">
      <t>サギョウ</t>
    </rPh>
    <rPh sb="5" eb="7">
      <t>トクベツ</t>
    </rPh>
    <rPh sb="7" eb="9">
      <t>テアテ</t>
    </rPh>
    <phoneticPr fontId="3"/>
  </si>
  <si>
    <t>業績手当
赴任手当</t>
    <rPh sb="0" eb="2">
      <t>ギョウセキ</t>
    </rPh>
    <rPh sb="2" eb="4">
      <t>テアテ</t>
    </rPh>
    <rPh sb="5" eb="7">
      <t>フニン</t>
    </rPh>
    <rPh sb="7" eb="9">
      <t>テアテ</t>
    </rPh>
    <phoneticPr fontId="3"/>
  </si>
  <si>
    <t>在職</t>
    <rPh sb="0" eb="2">
      <t>ザイショク</t>
    </rPh>
    <phoneticPr fontId="3"/>
  </si>
  <si>
    <t>1</t>
  </si>
  <si>
    <t>HD</t>
  </si>
  <si>
    <t>沙織</t>
    <rPh sb="0" eb="2">
      <t>サオリ</t>
    </rPh>
    <phoneticPr fontId="3"/>
  </si>
  <si>
    <t>扶養外</t>
    <rPh sb="0" eb="2">
      <t>フヨウ</t>
    </rPh>
    <rPh sb="2" eb="3">
      <t>ガイ</t>
    </rPh>
    <phoneticPr fontId="3"/>
  </si>
  <si>
    <t>奈菜</t>
    <phoneticPr fontId="3"/>
  </si>
  <si>
    <t>小野寺宏規</t>
    <rPh sb="0" eb="3">
      <t>オノデラ</t>
    </rPh>
    <rPh sb="3" eb="5">
      <t>ヒロキ</t>
    </rPh>
    <phoneticPr fontId="3"/>
  </si>
  <si>
    <t>扶養外</t>
    <rPh sb="0" eb="2">
      <t>フヨウ</t>
    </rPh>
    <rPh sb="2" eb="3">
      <t>ガイ</t>
    </rPh>
    <phoneticPr fontId="3"/>
  </si>
  <si>
    <t>大阪支店</t>
    <rPh sb="0" eb="2">
      <t>オオサカ</t>
    </rPh>
    <rPh sb="2" eb="4">
      <t>シテン</t>
    </rPh>
    <phoneticPr fontId="3"/>
  </si>
  <si>
    <t>森田智之</t>
    <phoneticPr fontId="3"/>
  </si>
  <si>
    <t>詩生里</t>
    <phoneticPr fontId="3"/>
  </si>
  <si>
    <t>福岡営業</t>
    <rPh sb="0" eb="2">
      <t>フクオカ</t>
    </rPh>
    <rPh sb="2" eb="4">
      <t>エイギョウ</t>
    </rPh>
    <phoneticPr fontId="18"/>
  </si>
  <si>
    <t>福岡加工課</t>
    <rPh sb="0" eb="2">
      <t>フクオカ</t>
    </rPh>
    <rPh sb="2" eb="5">
      <t>カコウカ</t>
    </rPh>
    <phoneticPr fontId="3"/>
  </si>
  <si>
    <t>南関東営業</t>
    <rPh sb="0" eb="1">
      <t>ミナミ</t>
    </rPh>
    <rPh sb="1" eb="3">
      <t>カントウ</t>
    </rPh>
    <rPh sb="3" eb="5">
      <t>エイギョウ</t>
    </rPh>
    <phoneticPr fontId="18"/>
  </si>
  <si>
    <t>仙台営業</t>
    <rPh sb="0" eb="2">
      <t>センダイ</t>
    </rPh>
    <rPh sb="2" eb="4">
      <t>エイギョウ</t>
    </rPh>
    <phoneticPr fontId="18"/>
  </si>
  <si>
    <t>東京一般</t>
    <rPh sb="0" eb="2">
      <t>トウキョウ</t>
    </rPh>
    <rPh sb="2" eb="4">
      <t>イッパン</t>
    </rPh>
    <phoneticPr fontId="3"/>
  </si>
  <si>
    <t>大阪一般</t>
    <rPh sb="0" eb="2">
      <t>オオサカ</t>
    </rPh>
    <rPh sb="2" eb="4">
      <t>イッパン</t>
    </rPh>
    <phoneticPr fontId="18"/>
  </si>
  <si>
    <t>福岡一般</t>
    <rPh sb="0" eb="2">
      <t>フクオカ</t>
    </rPh>
    <rPh sb="2" eb="4">
      <t>イッパン</t>
    </rPh>
    <phoneticPr fontId="3"/>
  </si>
  <si>
    <t>南関東一般</t>
    <rPh sb="0" eb="1">
      <t>ミナミ</t>
    </rPh>
    <rPh sb="1" eb="3">
      <t>カントウ</t>
    </rPh>
    <rPh sb="3" eb="5">
      <t>イッパン</t>
    </rPh>
    <phoneticPr fontId="18"/>
  </si>
  <si>
    <t>仙台一般</t>
    <rPh sb="0" eb="2">
      <t>センダイ</t>
    </rPh>
    <rPh sb="2" eb="4">
      <t>イッパン</t>
    </rPh>
    <phoneticPr fontId="18"/>
  </si>
  <si>
    <t>仙台加工課</t>
    <rPh sb="0" eb="2">
      <t>センダイ</t>
    </rPh>
    <rPh sb="2" eb="5">
      <t>カコウカ</t>
    </rPh>
    <phoneticPr fontId="3"/>
  </si>
  <si>
    <t>米山直樹</t>
    <rPh sb="2" eb="4">
      <t>ナオキ</t>
    </rPh>
    <phoneticPr fontId="3"/>
  </si>
  <si>
    <t>応美</t>
    <phoneticPr fontId="3"/>
  </si>
  <si>
    <t>瑞夏</t>
    <phoneticPr fontId="3"/>
  </si>
  <si>
    <t>正社員</t>
    <rPh sb="0" eb="3">
      <t>セイシャイン</t>
    </rPh>
    <phoneticPr fontId="18"/>
  </si>
  <si>
    <t>営業</t>
    <rPh sb="0" eb="2">
      <t>エイギョウ</t>
    </rPh>
    <phoneticPr fontId="18"/>
  </si>
  <si>
    <t>事業所所在地</t>
    <rPh sb="0" eb="3">
      <t>ジギョウショ</t>
    </rPh>
    <rPh sb="3" eb="6">
      <t>ショザイチ</t>
    </rPh>
    <phoneticPr fontId="18"/>
  </si>
  <si>
    <t>人数</t>
    <rPh sb="0" eb="2">
      <t>ニンズウ</t>
    </rPh>
    <phoneticPr fontId="18"/>
  </si>
  <si>
    <t>男</t>
    <rPh sb="0" eb="1">
      <t>オトコ</t>
    </rPh>
    <phoneticPr fontId="18"/>
  </si>
  <si>
    <t>女</t>
    <rPh sb="0" eb="1">
      <t>オンナ</t>
    </rPh>
    <phoneticPr fontId="18"/>
  </si>
  <si>
    <t>大阪府 東大阪市</t>
    <rPh sb="0" eb="3">
      <t>オオサカフ</t>
    </rPh>
    <rPh sb="4" eb="8">
      <t>ヒガシオオサカシ</t>
    </rPh>
    <phoneticPr fontId="18"/>
  </si>
  <si>
    <t>名</t>
    <rPh sb="0" eb="1">
      <t>メイ</t>
    </rPh>
    <phoneticPr fontId="18"/>
  </si>
  <si>
    <t>福岡市 博多区</t>
    <rPh sb="0" eb="3">
      <t>フクオカシ</t>
    </rPh>
    <rPh sb="4" eb="6">
      <t>ハカタ</t>
    </rPh>
    <rPh sb="6" eb="7">
      <t>ク</t>
    </rPh>
    <phoneticPr fontId="18"/>
  </si>
  <si>
    <t>埼玉県 草加市</t>
    <rPh sb="0" eb="3">
      <t>サイタマケン</t>
    </rPh>
    <rPh sb="4" eb="7">
      <t>ソウカシ</t>
    </rPh>
    <phoneticPr fontId="18"/>
  </si>
  <si>
    <t>神奈川県 相模原市</t>
    <rPh sb="0" eb="4">
      <t>カナガワケン</t>
    </rPh>
    <rPh sb="5" eb="9">
      <t>サガミハラシ</t>
    </rPh>
    <phoneticPr fontId="18"/>
  </si>
  <si>
    <t>宮城県 名取市</t>
    <rPh sb="0" eb="3">
      <t>ミヤギケン</t>
    </rPh>
    <rPh sb="4" eb="7">
      <t>ナトリシ</t>
    </rPh>
    <phoneticPr fontId="18"/>
  </si>
  <si>
    <t>計</t>
    <rPh sb="0" eb="1">
      <t>ケイ</t>
    </rPh>
    <phoneticPr fontId="18"/>
  </si>
  <si>
    <t>合計人数</t>
    <rPh sb="0" eb="2">
      <t>ゴウケイ</t>
    </rPh>
    <rPh sb="2" eb="4">
      <t>ニンズウ</t>
    </rPh>
    <phoneticPr fontId="18"/>
  </si>
  <si>
    <t>有期契約社員</t>
    <rPh sb="0" eb="2">
      <t>ユウキ</t>
    </rPh>
    <rPh sb="2" eb="4">
      <t>ケイヤク</t>
    </rPh>
    <rPh sb="4" eb="6">
      <t>シャイン</t>
    </rPh>
    <phoneticPr fontId="3"/>
  </si>
  <si>
    <t>人数</t>
    <rPh sb="0" eb="2">
      <t>ニンズウ</t>
    </rPh>
    <phoneticPr fontId="3"/>
  </si>
  <si>
    <t>勤続</t>
    <rPh sb="0" eb="2">
      <t>キンゾク</t>
    </rPh>
    <phoneticPr fontId="3"/>
  </si>
  <si>
    <t>営業</t>
    <rPh sb="0" eb="2">
      <t>エイギョウ</t>
    </rPh>
    <phoneticPr fontId="3"/>
  </si>
  <si>
    <t>男</t>
    <rPh sb="0" eb="1">
      <t>オトコ</t>
    </rPh>
    <phoneticPr fontId="3"/>
  </si>
  <si>
    <t>正社員</t>
    <rPh sb="0" eb="3">
      <t>セイシャイン</t>
    </rPh>
    <phoneticPr fontId="3"/>
  </si>
  <si>
    <t>事務</t>
    <rPh sb="0" eb="2">
      <t>ジム</t>
    </rPh>
    <phoneticPr fontId="3"/>
  </si>
  <si>
    <t>加工</t>
    <rPh sb="0" eb="2">
      <t>カコウ</t>
    </rPh>
    <phoneticPr fontId="3"/>
  </si>
  <si>
    <t>女</t>
    <rPh sb="0" eb="1">
      <t>オンナ</t>
    </rPh>
    <phoneticPr fontId="3"/>
  </si>
  <si>
    <t>平均</t>
    <rPh sb="0" eb="2">
      <t>ヘイキン</t>
    </rPh>
    <phoneticPr fontId="3"/>
  </si>
  <si>
    <t>正社員計</t>
    <rPh sb="0" eb="3">
      <t>セイシャイン</t>
    </rPh>
    <rPh sb="3" eb="4">
      <t>ケイ</t>
    </rPh>
    <phoneticPr fontId="3"/>
  </si>
  <si>
    <t>有期契約社員計</t>
    <rPh sb="0" eb="2">
      <t>ユウキ</t>
    </rPh>
    <rPh sb="2" eb="4">
      <t>ケイヤク</t>
    </rPh>
    <rPh sb="4" eb="6">
      <t>シャイン</t>
    </rPh>
    <rPh sb="6" eb="7">
      <t>ケイ</t>
    </rPh>
    <phoneticPr fontId="3"/>
  </si>
  <si>
    <t>合計</t>
    <rPh sb="0" eb="2">
      <t>ゴウケイ</t>
    </rPh>
    <phoneticPr fontId="3"/>
  </si>
  <si>
    <t>南関東加工課</t>
    <rPh sb="0" eb="1">
      <t>ミナミ</t>
    </rPh>
    <rPh sb="1" eb="3">
      <t>カントウ</t>
    </rPh>
    <rPh sb="3" eb="5">
      <t>カコウ</t>
    </rPh>
    <rPh sb="5" eb="6">
      <t>カ</t>
    </rPh>
    <phoneticPr fontId="18"/>
  </si>
  <si>
    <t>役員</t>
    <rPh sb="0" eb="2">
      <t>ヤクイン</t>
    </rPh>
    <phoneticPr fontId="3"/>
  </si>
  <si>
    <t>関東営業</t>
    <rPh sb="2" eb="4">
      <t>エイギョウ</t>
    </rPh>
    <phoneticPr fontId="18"/>
  </si>
  <si>
    <t>関東業務</t>
    <rPh sb="0" eb="2">
      <t>カントウ</t>
    </rPh>
    <rPh sb="2" eb="4">
      <t>ギョウム</t>
    </rPh>
    <phoneticPr fontId="18"/>
  </si>
  <si>
    <t>関東製造</t>
    <rPh sb="0" eb="2">
      <t>カントウ</t>
    </rPh>
    <rPh sb="2" eb="4">
      <t>セイゾウ</t>
    </rPh>
    <phoneticPr fontId="18"/>
  </si>
  <si>
    <t>東海管理</t>
    <rPh sb="0" eb="2">
      <t>トウカイ</t>
    </rPh>
    <rPh sb="2" eb="4">
      <t>カンリ</t>
    </rPh>
    <phoneticPr fontId="18"/>
  </si>
  <si>
    <t>東海業務</t>
    <rPh sb="0" eb="2">
      <t>トウカイ</t>
    </rPh>
    <rPh sb="2" eb="4">
      <t>ギョウム</t>
    </rPh>
    <phoneticPr fontId="18"/>
  </si>
  <si>
    <t>東海製造</t>
    <rPh sb="0" eb="2">
      <t>トウカイ</t>
    </rPh>
    <rPh sb="2" eb="4">
      <t>セイゾウ</t>
    </rPh>
    <phoneticPr fontId="18"/>
  </si>
  <si>
    <t>大阪営業</t>
    <rPh sb="0" eb="2">
      <t>オオサカ</t>
    </rPh>
    <rPh sb="2" eb="4">
      <t>エイギョウ</t>
    </rPh>
    <phoneticPr fontId="3"/>
  </si>
  <si>
    <t>東京営業</t>
    <rPh sb="0" eb="2">
      <t>トウキョウ</t>
    </rPh>
    <rPh sb="2" eb="4">
      <t>エイギョウ</t>
    </rPh>
    <phoneticPr fontId="3"/>
  </si>
  <si>
    <t>業務</t>
    <rPh sb="0" eb="2">
      <t>ギョウム</t>
    </rPh>
    <phoneticPr fontId="18"/>
  </si>
  <si>
    <t>*業務・・・事務・管理・経理・配送等、営業と製造以外のもの</t>
    <rPh sb="1" eb="3">
      <t>ギョウム</t>
    </rPh>
    <rPh sb="6" eb="8">
      <t>ジム</t>
    </rPh>
    <rPh sb="9" eb="11">
      <t>カンリ</t>
    </rPh>
    <rPh sb="12" eb="14">
      <t>ケイリ</t>
    </rPh>
    <rPh sb="15" eb="17">
      <t>ハイソウ</t>
    </rPh>
    <rPh sb="17" eb="18">
      <t>トウ</t>
    </rPh>
    <rPh sb="19" eb="21">
      <t>エイギョウ</t>
    </rPh>
    <rPh sb="22" eb="24">
      <t>セイゾウ</t>
    </rPh>
    <rPh sb="24" eb="26">
      <t>イガイ</t>
    </rPh>
    <phoneticPr fontId="3"/>
  </si>
  <si>
    <t>千晃</t>
    <rPh sb="0" eb="1">
      <t>セン</t>
    </rPh>
    <rPh sb="1" eb="2">
      <t>アキラ</t>
    </rPh>
    <phoneticPr fontId="3"/>
  </si>
  <si>
    <t>岡田圭人</t>
    <rPh sb="0" eb="2">
      <t>オカダ</t>
    </rPh>
    <rPh sb="2" eb="4">
      <t>ケイト</t>
    </rPh>
    <phoneticPr fontId="3"/>
  </si>
  <si>
    <t>大阪開発課</t>
    <rPh sb="0" eb="2">
      <t>オオサカ</t>
    </rPh>
    <rPh sb="2" eb="4">
      <t>カイハツ</t>
    </rPh>
    <rPh sb="4" eb="5">
      <t>カ</t>
    </rPh>
    <phoneticPr fontId="18"/>
  </si>
  <si>
    <t>大阪</t>
    <rPh sb="0" eb="2">
      <t>オオサカ</t>
    </rPh>
    <phoneticPr fontId="3"/>
  </si>
  <si>
    <t>東京</t>
    <rPh sb="0" eb="2">
      <t>トウキョウ</t>
    </rPh>
    <phoneticPr fontId="3"/>
  </si>
  <si>
    <t>全社</t>
    <rPh sb="0" eb="2">
      <t>ゼンシャ</t>
    </rPh>
    <phoneticPr fontId="3"/>
  </si>
  <si>
    <t>本部</t>
    <rPh sb="0" eb="2">
      <t>ホンブ</t>
    </rPh>
    <phoneticPr fontId="3"/>
  </si>
  <si>
    <t>ALL</t>
    <phoneticPr fontId="3"/>
  </si>
  <si>
    <t>RO</t>
    <phoneticPr fontId="3"/>
  </si>
  <si>
    <t>RT</t>
    <phoneticPr fontId="3"/>
  </si>
  <si>
    <t>RH</t>
    <phoneticPr fontId="3"/>
  </si>
  <si>
    <t>計</t>
    <rPh sb="0" eb="1">
      <t>ケイ</t>
    </rPh>
    <phoneticPr fontId="3"/>
  </si>
  <si>
    <t>東海アルコック</t>
    <rPh sb="0" eb="2">
      <t>トウカイ</t>
    </rPh>
    <phoneticPr fontId="3"/>
  </si>
  <si>
    <t>鳥居金属</t>
    <rPh sb="0" eb="4">
      <t>トリイキンゾク</t>
    </rPh>
    <phoneticPr fontId="3"/>
  </si>
  <si>
    <t>23才超</t>
    <rPh sb="2" eb="3">
      <t>サイ</t>
    </rPh>
    <rPh sb="3" eb="4">
      <t>チョウ</t>
    </rPh>
    <phoneticPr fontId="3"/>
  </si>
  <si>
    <t>離婚</t>
    <rPh sb="0" eb="2">
      <t>リコン</t>
    </rPh>
    <phoneticPr fontId="3"/>
  </si>
  <si>
    <t>直也</t>
    <rPh sb="0" eb="2">
      <t>ナオヤ</t>
    </rPh>
    <phoneticPr fontId="3"/>
  </si>
  <si>
    <t>もえ</t>
    <phoneticPr fontId="3"/>
  </si>
  <si>
    <t>友貴</t>
    <rPh sb="0" eb="2">
      <t>トモキ</t>
    </rPh>
    <phoneticPr fontId="3"/>
  </si>
  <si>
    <t>増田佳子</t>
    <rPh sb="0" eb="2">
      <t>マスダ</t>
    </rPh>
    <rPh sb="2" eb="4">
      <t>ヨシコ</t>
    </rPh>
    <phoneticPr fontId="3"/>
  </si>
  <si>
    <t>下野健太郎</t>
    <rPh sb="0" eb="2">
      <t>シモノ</t>
    </rPh>
    <rPh sb="2" eb="5">
      <t>ケンタロウ</t>
    </rPh>
    <phoneticPr fontId="3"/>
  </si>
  <si>
    <t>響暉</t>
    <rPh sb="0" eb="1">
      <t>ヒビキ</t>
    </rPh>
    <rPh sb="1" eb="2">
      <t>キ</t>
    </rPh>
    <phoneticPr fontId="3"/>
  </si>
  <si>
    <t>洵</t>
    <rPh sb="0" eb="1">
      <t>シュン</t>
    </rPh>
    <phoneticPr fontId="3"/>
  </si>
  <si>
    <t>名古屋営業</t>
    <rPh sb="0" eb="3">
      <t>ナゴヤ</t>
    </rPh>
    <rPh sb="3" eb="5">
      <t>エイギョウ</t>
    </rPh>
    <phoneticPr fontId="18"/>
  </si>
  <si>
    <t>名古屋一般</t>
    <rPh sb="0" eb="3">
      <t>ナゴヤ</t>
    </rPh>
    <rPh sb="3" eb="5">
      <t>イッパン</t>
    </rPh>
    <phoneticPr fontId="3"/>
  </si>
  <si>
    <t>名古屋加工課</t>
    <rPh sb="0" eb="3">
      <t>ナゴヤ</t>
    </rPh>
    <rPh sb="3" eb="6">
      <t>カコウカ</t>
    </rPh>
    <phoneticPr fontId="3"/>
  </si>
  <si>
    <t>愛知県名古屋市</t>
    <rPh sb="0" eb="3">
      <t>アイチケン</t>
    </rPh>
    <rPh sb="3" eb="7">
      <t>ナゴヤシ</t>
    </rPh>
    <phoneticPr fontId="3"/>
  </si>
  <si>
    <t>KK</t>
  </si>
  <si>
    <t>有紀</t>
  </si>
  <si>
    <t>有希人</t>
    <phoneticPr fontId="3"/>
  </si>
  <si>
    <t>04</t>
  </si>
  <si>
    <t>01</t>
  </si>
  <si>
    <t>松尾泰聡</t>
    <rPh sb="0" eb="2">
      <t>マツオ</t>
    </rPh>
    <rPh sb="2" eb="3">
      <t>ヤスシ</t>
    </rPh>
    <rPh sb="3" eb="4">
      <t>サトシ</t>
    </rPh>
    <phoneticPr fontId="3"/>
  </si>
  <si>
    <t>伊丹慎哉</t>
    <rPh sb="0" eb="2">
      <t>イタミ</t>
    </rPh>
    <phoneticPr fontId="3"/>
  </si>
  <si>
    <t>瑛</t>
    <rPh sb="0" eb="1">
      <t>アキラ</t>
    </rPh>
    <phoneticPr fontId="3"/>
  </si>
  <si>
    <t>美樹</t>
    <rPh sb="0" eb="2">
      <t>ミキ</t>
    </rPh>
    <phoneticPr fontId="3"/>
  </si>
  <si>
    <t>加藤直子</t>
    <rPh sb="2" eb="4">
      <t>ナオコ</t>
    </rPh>
    <phoneticPr fontId="3"/>
  </si>
  <si>
    <t>駿太</t>
    <rPh sb="0" eb="2">
      <t>シュンタ</t>
    </rPh>
    <phoneticPr fontId="3"/>
  </si>
  <si>
    <t>移動</t>
    <rPh sb="0" eb="2">
      <t>イドウ</t>
    </rPh>
    <phoneticPr fontId="3"/>
  </si>
  <si>
    <t>役員就任</t>
    <rPh sb="0" eb="2">
      <t>ヤクイン</t>
    </rPh>
    <rPh sb="2" eb="4">
      <t>シュウニン</t>
    </rPh>
    <phoneticPr fontId="3"/>
  </si>
  <si>
    <t>経理部</t>
    <rPh sb="0" eb="2">
      <t>ケイリ</t>
    </rPh>
    <rPh sb="2" eb="3">
      <t>ブ</t>
    </rPh>
    <phoneticPr fontId="18"/>
  </si>
  <si>
    <t>P</t>
  </si>
  <si>
    <t>北関東営業</t>
    <rPh sb="0" eb="1">
      <t>キタ</t>
    </rPh>
    <rPh sb="1" eb="3">
      <t>カントウ</t>
    </rPh>
    <rPh sb="3" eb="5">
      <t>エイギョウ</t>
    </rPh>
    <phoneticPr fontId="18"/>
  </si>
  <si>
    <t>北関東一般</t>
    <rPh sb="0" eb="1">
      <t>キタ</t>
    </rPh>
    <rPh sb="1" eb="3">
      <t>カントウ</t>
    </rPh>
    <rPh sb="3" eb="5">
      <t>イッパン</t>
    </rPh>
    <phoneticPr fontId="18"/>
  </si>
  <si>
    <t>北関東加工課</t>
    <rPh sb="0" eb="1">
      <t>キタ</t>
    </rPh>
    <rPh sb="1" eb="3">
      <t>カントウ</t>
    </rPh>
    <rPh sb="3" eb="5">
      <t>カコウ</t>
    </rPh>
    <rPh sb="5" eb="6">
      <t>カ</t>
    </rPh>
    <phoneticPr fontId="18"/>
  </si>
  <si>
    <t>土谷義正</t>
    <rPh sb="0" eb="2">
      <t>ツチタニ</t>
    </rPh>
    <rPh sb="2" eb="4">
      <t>ヨシマサ</t>
    </rPh>
    <phoneticPr fontId="3"/>
  </si>
  <si>
    <t>花子</t>
    <rPh sb="0" eb="2">
      <t>ハナコ</t>
    </rPh>
    <phoneticPr fontId="3"/>
  </si>
  <si>
    <t>さよ子</t>
    <rPh sb="2" eb="3">
      <t>コ</t>
    </rPh>
    <phoneticPr fontId="3"/>
  </si>
  <si>
    <t>RT</t>
  </si>
  <si>
    <t>00567</t>
  </si>
  <si>
    <t>5</t>
  </si>
  <si>
    <t>00527</t>
  </si>
  <si>
    <t>00543</t>
  </si>
  <si>
    <t>00552</t>
  </si>
  <si>
    <t>00581</t>
  </si>
  <si>
    <t>00455</t>
  </si>
  <si>
    <t>00601</t>
  </si>
  <si>
    <t>00604</t>
  </si>
  <si>
    <t>00608</t>
  </si>
  <si>
    <t>00644</t>
  </si>
  <si>
    <t>00648</t>
  </si>
  <si>
    <t>00691</t>
  </si>
  <si>
    <t>00569</t>
  </si>
  <si>
    <t>00607</t>
  </si>
  <si>
    <t>00642</t>
  </si>
  <si>
    <t>00649</t>
  </si>
  <si>
    <t>00683</t>
  </si>
  <si>
    <t>00685</t>
  </si>
  <si>
    <t>00692</t>
  </si>
  <si>
    <t>00705</t>
  </si>
  <si>
    <t>00707</t>
  </si>
  <si>
    <t>00708</t>
  </si>
  <si>
    <t>00709</t>
  </si>
  <si>
    <t>00711</t>
  </si>
  <si>
    <t>00712</t>
  </si>
  <si>
    <t>00716</t>
  </si>
  <si>
    <t>00724</t>
  </si>
  <si>
    <t>00729</t>
  </si>
  <si>
    <t>00735</t>
  </si>
  <si>
    <t>00737</t>
  </si>
  <si>
    <t>00738</t>
  </si>
  <si>
    <t>00656</t>
  </si>
  <si>
    <t>00687</t>
  </si>
  <si>
    <t>00703</t>
  </si>
  <si>
    <t>00736</t>
  </si>
  <si>
    <t>00514</t>
  </si>
  <si>
    <t>00553</t>
  </si>
  <si>
    <t>00668</t>
  </si>
  <si>
    <t>00697</t>
  </si>
  <si>
    <t>00723</t>
  </si>
  <si>
    <t>00726</t>
  </si>
  <si>
    <t>00988</t>
  </si>
  <si>
    <t>東京</t>
    <phoneticPr fontId="18"/>
  </si>
  <si>
    <t>28</t>
  </si>
  <si>
    <t/>
  </si>
  <si>
    <t>00741</t>
  </si>
  <si>
    <t>退職</t>
    <rPh sb="0" eb="2">
      <t>タイショク</t>
    </rPh>
    <phoneticPr fontId="3"/>
  </si>
  <si>
    <t>Z</t>
  </si>
  <si>
    <t>YY</t>
    <phoneticPr fontId="3"/>
  </si>
  <si>
    <t>役員</t>
    <rPh sb="0" eb="2">
      <t>ヤクイン</t>
    </rPh>
    <phoneticPr fontId="3"/>
  </si>
  <si>
    <t>コード</t>
    <phoneticPr fontId="3"/>
  </si>
  <si>
    <t xml:space="preserve">柴田　真人                                   </t>
  </si>
  <si>
    <t xml:space="preserve">市橋　健                                    </t>
  </si>
  <si>
    <t xml:space="preserve">斎藤　邦雄                                   </t>
  </si>
  <si>
    <t xml:space="preserve">中西　俊介                                   </t>
  </si>
  <si>
    <t xml:space="preserve">阿部　孝也                                   </t>
  </si>
  <si>
    <t xml:space="preserve">藤原　良太                                   </t>
  </si>
  <si>
    <t xml:space="preserve">松尾　亮輝                                   </t>
  </si>
  <si>
    <t xml:space="preserve">染田　明宏                                   </t>
  </si>
  <si>
    <t xml:space="preserve">野田　祐助                                   </t>
  </si>
  <si>
    <t xml:space="preserve">中村　美咲                                   </t>
  </si>
  <si>
    <t xml:space="preserve">畑山　慎哉                                   </t>
  </si>
  <si>
    <t xml:space="preserve">加藤　翔吾                                   </t>
  </si>
  <si>
    <t xml:space="preserve">下野　健太郎                                  </t>
  </si>
  <si>
    <t xml:space="preserve">関　なぎさ                                   </t>
  </si>
  <si>
    <t xml:space="preserve">木村　政信                                   </t>
  </si>
  <si>
    <t xml:space="preserve">坂上　勇人                                   </t>
  </si>
  <si>
    <t xml:space="preserve">岩地　亮平                                   </t>
  </si>
  <si>
    <t xml:space="preserve">加藤　直子                                   </t>
  </si>
  <si>
    <t xml:space="preserve">出口　俊也                                   </t>
  </si>
  <si>
    <t xml:space="preserve">因田　貴美                                   </t>
  </si>
  <si>
    <t xml:space="preserve">水谷　達                                    </t>
  </si>
  <si>
    <t xml:space="preserve">平澤　広太郎                                  </t>
  </si>
  <si>
    <t xml:space="preserve">坂入  里沙                                  </t>
  </si>
  <si>
    <t xml:space="preserve">栗原　正祥                                   </t>
  </si>
  <si>
    <t xml:space="preserve">貝吹　拓海                                   </t>
  </si>
  <si>
    <t xml:space="preserve">米山　直樹                                   </t>
  </si>
  <si>
    <t xml:space="preserve">石川　富士                                   </t>
  </si>
  <si>
    <t xml:space="preserve">大塚　厚輝                                   </t>
  </si>
  <si>
    <t xml:space="preserve">宮澤　綾香                                   </t>
  </si>
  <si>
    <t xml:space="preserve">増田　佳子                                   </t>
  </si>
  <si>
    <t>B</t>
  </si>
  <si>
    <t xml:space="preserve">小野　治                                    </t>
  </si>
  <si>
    <t xml:space="preserve">土谷　義正                                   </t>
  </si>
  <si>
    <t xml:space="preserve">大谷　耕平                                   </t>
  </si>
  <si>
    <t xml:space="preserve">和泉　幸恵                                   </t>
  </si>
  <si>
    <t xml:space="preserve">藤川　大輔                                   </t>
  </si>
  <si>
    <t xml:space="preserve">中村　祐也                                   </t>
  </si>
  <si>
    <t xml:space="preserve">高野　由美子                                  </t>
  </si>
  <si>
    <t xml:space="preserve">佐々木　清隆                                  </t>
  </si>
  <si>
    <t xml:space="preserve">田上　飛龍                                   </t>
  </si>
  <si>
    <t xml:space="preserve">小山　実                                    </t>
  </si>
  <si>
    <t xml:space="preserve">鈴木　正宏                                   </t>
  </si>
  <si>
    <t xml:space="preserve">霧生　麗弥                                   </t>
  </si>
  <si>
    <t xml:space="preserve">柏瀬　敏子                                   </t>
  </si>
  <si>
    <t>00742</t>
  </si>
  <si>
    <t xml:space="preserve">金久保　誠                                   </t>
  </si>
  <si>
    <t>M</t>
  </si>
  <si>
    <t>F</t>
  </si>
  <si>
    <t>第73期　期末現在従業員数</t>
    <rPh sb="0" eb="1">
      <t>ダイ</t>
    </rPh>
    <rPh sb="3" eb="4">
      <t>キ</t>
    </rPh>
    <rPh sb="5" eb="7">
      <t>キマツ</t>
    </rPh>
    <rPh sb="7" eb="9">
      <t>ゲンザイ</t>
    </rPh>
    <rPh sb="9" eb="12">
      <t>ジュウギョウイン</t>
    </rPh>
    <rPh sb="12" eb="13">
      <t>スウ</t>
    </rPh>
    <phoneticPr fontId="18"/>
  </si>
  <si>
    <t>SS</t>
  </si>
  <si>
    <t>TK</t>
  </si>
  <si>
    <t>JJ</t>
  </si>
  <si>
    <t>SD</t>
  </si>
  <si>
    <t>AK</t>
  </si>
  <si>
    <t>SG</t>
  </si>
  <si>
    <t>00745</t>
  </si>
  <si>
    <t xml:space="preserve">岩下　貴大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</si>
</sst>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_ "/>
    <numFmt numFmtId="177" formatCode="[$-411]ggge&quot;年&quot;m&quot;月&quot;d&quot;日&quot;;@"/>
  </numFmts>
  <fonts count="33" x14ac:knownFonts="1">
    <font>
      <sz val="11"/>
      <name val="ＭＳ Ｐ明朝"/>
      <family val="1"/>
      <charset val="128"/>
    </font>
    <font>
      <sz val="11"/>
      <name val="ＭＳ Ｐ明朝"/>
      <family val="1"/>
      <charset val="128"/>
    </font>
    <font>
      <sz val="11"/>
      <name val="ＭＳ Ｐ明朝"/>
      <family val="1"/>
      <charset val="128"/>
    </font>
    <font>
      <sz val="6"/>
      <name val="ＭＳ Ｐ明朝"/>
      <family val="1"/>
      <charset val="128"/>
    </font>
    <font>
      <sz val="9"/>
      <name val="ＭＳ Ｐ明朝"/>
      <family val="1"/>
      <charset val="128"/>
    </font>
    <font>
      <sz val="10.5"/>
      <name val="ＭＳ Ｐ明朝"/>
      <family val="1"/>
      <charset val="128"/>
    </font>
    <font>
      <b/>
      <sz val="12"/>
      <name val="ＭＳ Ｐ明朝"/>
      <family val="1"/>
      <charset val="128"/>
    </font>
    <font>
      <b/>
      <u/>
      <sz val="18"/>
      <name val="ＭＳ Ｐ明朝"/>
      <family val="1"/>
      <charset val="128"/>
    </font>
    <font>
      <b/>
      <sz val="12"/>
      <color indexed="12"/>
      <name val="ＭＳ Ｐ明朝"/>
      <family val="1"/>
      <charset val="128"/>
    </font>
    <font>
      <b/>
      <sz val="12"/>
      <color indexed="14"/>
      <name val="ＭＳ Ｐゴシック"/>
      <family val="3"/>
      <charset val="128"/>
    </font>
    <font>
      <b/>
      <sz val="20"/>
      <color indexed="17"/>
      <name val="ＭＳ Ｐ明朝"/>
      <family val="1"/>
      <charset val="128"/>
    </font>
    <font>
      <sz val="11"/>
      <color indexed="12"/>
      <name val="ＭＳ Ｐ明朝"/>
      <family val="1"/>
      <charset val="128"/>
    </font>
    <font>
      <sz val="11"/>
      <color indexed="16"/>
      <name val="ＭＳ Ｐ明朝"/>
      <family val="1"/>
      <charset val="128"/>
    </font>
    <font>
      <b/>
      <u/>
      <sz val="18"/>
      <color indexed="16"/>
      <name val="ＭＳ Ｐ明朝"/>
      <family val="1"/>
      <charset val="128"/>
    </font>
    <font>
      <sz val="11"/>
      <color indexed="60"/>
      <name val="ＭＳ Ｐ明朝"/>
      <family val="1"/>
      <charset val="128"/>
    </font>
    <font>
      <sz val="9"/>
      <color indexed="60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4"/>
      <color rgb="FFFF0000"/>
      <name val="ＭＳ Ｐゴシック"/>
      <family val="3"/>
      <charset val="128"/>
    </font>
    <font>
      <b/>
      <sz val="14"/>
      <color rgb="FF800080"/>
      <name val="ＭＳ Ｐ明朝"/>
      <family val="1"/>
      <charset val="128"/>
    </font>
    <font>
      <b/>
      <sz val="11"/>
      <color rgb="FF339966"/>
      <name val="ＭＳ Ｐゴシック"/>
      <family val="3"/>
      <charset val="128"/>
    </font>
    <font>
      <b/>
      <sz val="11"/>
      <color rgb="FFFF00FF"/>
      <name val="ＭＳ Ｐゴシック"/>
      <family val="3"/>
      <charset val="128"/>
    </font>
    <font>
      <sz val="11"/>
      <color rgb="FF9933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12"/>
      <color rgb="FF800080"/>
      <name val="ＭＳ Ｐ明朝"/>
      <family val="1"/>
      <charset val="128"/>
    </font>
    <font>
      <b/>
      <sz val="12"/>
      <color rgb="FF800000"/>
      <name val="ＭＳ Ｐ明朝"/>
      <family val="1"/>
      <charset val="128"/>
    </font>
    <font>
      <b/>
      <sz val="12"/>
      <color rgb="FF0000FF"/>
      <name val="ＭＳ Ｐ明朝"/>
      <family val="1"/>
      <charset val="128"/>
    </font>
    <font>
      <b/>
      <sz val="12"/>
      <color rgb="FF339966"/>
      <name val="ＭＳ Ｐ明朝"/>
      <family val="1"/>
      <charset val="128"/>
    </font>
    <font>
      <b/>
      <sz val="12"/>
      <color rgb="FFFF0000"/>
      <name val="ＭＳ Ｐ明朝"/>
      <family val="1"/>
      <charset val="128"/>
    </font>
    <font>
      <sz val="11"/>
      <color rgb="FFFF0000"/>
      <name val="ＭＳ Ｐ明朝"/>
      <family val="1"/>
      <charset val="128"/>
    </font>
    <font>
      <sz val="14"/>
      <name val="ＭＳ Ｐ明朝"/>
      <family val="1"/>
      <charset val="128"/>
    </font>
    <font>
      <sz val="11"/>
      <color rgb="FF000000"/>
      <name val="ＭＳ Ｐ明朝"/>
      <family val="1"/>
      <charset val="128"/>
    </font>
  </fonts>
  <fills count="1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13"/>
        <bgColor indexed="64"/>
      </patternFill>
    </fill>
  </fills>
  <borders count="16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uble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double">
        <color indexed="64"/>
      </top>
      <bottom style="hair">
        <color indexed="64"/>
      </bottom>
      <diagonal/>
    </border>
    <border>
      <left style="dott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/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uble">
        <color indexed="64"/>
      </bottom>
      <diagonal/>
    </border>
    <border>
      <left style="dotted">
        <color indexed="64"/>
      </left>
      <right style="dashed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ouble">
        <color indexed="64"/>
      </bottom>
      <diagonal/>
    </border>
    <border>
      <left style="dashed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ashed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ashed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double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/>
      <right style="dashed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ashed">
        <color indexed="64"/>
      </left>
      <right/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</borders>
  <cellStyleXfs count="4">
    <xf numFmtId="0" fontId="0" fillId="0" borderId="0"/>
    <xf numFmtId="38" fontId="2" fillId="0" borderId="0" applyFont="0" applyFill="0" applyBorder="0" applyAlignment="0" applyProtection="0"/>
    <xf numFmtId="38" fontId="16" fillId="0" borderId="0" applyFont="0" applyFill="0" applyBorder="0" applyAlignment="0" applyProtection="0">
      <alignment vertical="center"/>
    </xf>
    <xf numFmtId="0" fontId="16" fillId="0" borderId="0">
      <alignment vertical="center"/>
    </xf>
  </cellStyleXfs>
  <cellXfs count="44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21" xfId="0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/>
      <protection locked="0"/>
    </xf>
    <xf numFmtId="0" fontId="0" fillId="0" borderId="23" xfId="0" applyBorder="1" applyAlignment="1">
      <alignment horizontal="center"/>
    </xf>
    <xf numFmtId="0" fontId="0" fillId="0" borderId="17" xfId="0" applyBorder="1" applyAlignment="1" applyProtection="1">
      <alignment horizontal="center"/>
      <protection locked="0"/>
    </xf>
    <xf numFmtId="0" fontId="0" fillId="0" borderId="23" xfId="0" applyBorder="1" applyAlignment="1">
      <alignment horizontal="left"/>
    </xf>
    <xf numFmtId="0" fontId="0" fillId="0" borderId="24" xfId="0" applyBorder="1" applyAlignment="1" applyProtection="1">
      <alignment horizontal="left"/>
      <protection locked="0"/>
    </xf>
    <xf numFmtId="0" fontId="0" fillId="0" borderId="25" xfId="0" applyBorder="1" applyAlignment="1" applyProtection="1">
      <alignment horizontal="center"/>
      <protection locked="0"/>
    </xf>
    <xf numFmtId="0" fontId="0" fillId="2" borderId="26" xfId="0" applyFill="1" applyBorder="1"/>
    <xf numFmtId="0" fontId="0" fillId="2" borderId="27" xfId="0" applyFill="1" applyBorder="1"/>
    <xf numFmtId="38" fontId="0" fillId="2" borderId="28" xfId="1" applyFont="1" applyFill="1" applyBorder="1"/>
    <xf numFmtId="38" fontId="0" fillId="2" borderId="29" xfId="1" applyFont="1" applyFill="1" applyBorder="1"/>
    <xf numFmtId="38" fontId="0" fillId="2" borderId="30" xfId="1" applyFont="1" applyFill="1" applyBorder="1"/>
    <xf numFmtId="0" fontId="0" fillId="2" borderId="31" xfId="0" applyFill="1" applyBorder="1"/>
    <xf numFmtId="0" fontId="0" fillId="2" borderId="32" xfId="0" applyFill="1" applyBorder="1" applyAlignment="1">
      <alignment horizontal="center" vertical="center"/>
    </xf>
    <xf numFmtId="0" fontId="0" fillId="2" borderId="33" xfId="0" applyFill="1" applyBorder="1" applyAlignment="1">
      <alignment horizontal="center" vertical="center" wrapText="1"/>
    </xf>
    <xf numFmtId="0" fontId="0" fillId="2" borderId="34" xfId="0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/>
    </xf>
    <xf numFmtId="0" fontId="4" fillId="2" borderId="35" xfId="0" applyFont="1" applyFill="1" applyBorder="1" applyAlignment="1">
      <alignment horizontal="center" vertical="center" textRotation="255"/>
    </xf>
    <xf numFmtId="0" fontId="0" fillId="2" borderId="36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/>
    </xf>
    <xf numFmtId="0" fontId="0" fillId="2" borderId="37" xfId="0" applyFill="1" applyBorder="1" applyAlignment="1">
      <alignment horizontal="center" vertical="center" wrapText="1"/>
    </xf>
    <xf numFmtId="0" fontId="0" fillId="2" borderId="38" xfId="0" applyFill="1" applyBorder="1" applyAlignment="1">
      <alignment horizontal="center" vertical="center"/>
    </xf>
    <xf numFmtId="0" fontId="0" fillId="2" borderId="35" xfId="0" applyFill="1" applyBorder="1" applyAlignment="1">
      <alignment horizontal="center" vertical="center" wrapText="1"/>
    </xf>
    <xf numFmtId="0" fontId="0" fillId="2" borderId="39" xfId="0" applyFill="1" applyBorder="1" applyAlignment="1">
      <alignment horizontal="center" vertical="center" wrapText="1"/>
    </xf>
    <xf numFmtId="58" fontId="5" fillId="0" borderId="17" xfId="0" applyNumberFormat="1" applyFont="1" applyBorder="1" applyAlignment="1" applyProtection="1">
      <alignment horizontal="left"/>
      <protection locked="0"/>
    </xf>
    <xf numFmtId="0" fontId="0" fillId="3" borderId="40" xfId="0" applyFill="1" applyBorder="1"/>
    <xf numFmtId="0" fontId="0" fillId="3" borderId="42" xfId="0" applyFill="1" applyBorder="1"/>
    <xf numFmtId="0" fontId="0" fillId="3" borderId="43" xfId="0" applyFill="1" applyBorder="1" applyAlignment="1">
      <alignment horizontal="center" vertical="center"/>
    </xf>
    <xf numFmtId="0" fontId="0" fillId="4" borderId="44" xfId="0" applyFill="1" applyBorder="1"/>
    <xf numFmtId="0" fontId="0" fillId="4" borderId="45" xfId="0" applyFill="1" applyBorder="1"/>
    <xf numFmtId="0" fontId="0" fillId="4" borderId="46" xfId="0" applyFill="1" applyBorder="1"/>
    <xf numFmtId="38" fontId="2" fillId="0" borderId="18" xfId="1" applyBorder="1" applyProtection="1">
      <protection locked="0"/>
    </xf>
    <xf numFmtId="38" fontId="2" fillId="0" borderId="19" xfId="1" applyBorder="1" applyProtection="1">
      <protection locked="0"/>
    </xf>
    <xf numFmtId="38" fontId="2" fillId="0" borderId="20" xfId="1" applyBorder="1"/>
    <xf numFmtId="0" fontId="0" fillId="3" borderId="47" xfId="0" applyFill="1" applyBorder="1" applyAlignment="1" applyProtection="1">
      <alignment horizontal="center"/>
      <protection locked="0"/>
    </xf>
    <xf numFmtId="0" fontId="0" fillId="3" borderId="48" xfId="0" applyFill="1" applyBorder="1"/>
    <xf numFmtId="0" fontId="0" fillId="0" borderId="49" xfId="0" applyBorder="1" applyAlignment="1" applyProtection="1">
      <alignment horizontal="center"/>
      <protection locked="0"/>
    </xf>
    <xf numFmtId="0" fontId="0" fillId="0" borderId="50" xfId="0" applyBorder="1" applyProtection="1">
      <protection locked="0"/>
    </xf>
    <xf numFmtId="0" fontId="0" fillId="0" borderId="51" xfId="0" applyBorder="1" applyAlignment="1" applyProtection="1">
      <alignment horizontal="left"/>
      <protection locked="0"/>
    </xf>
    <xf numFmtId="0" fontId="0" fillId="0" borderId="52" xfId="0" applyBorder="1" applyAlignment="1" applyProtection="1">
      <alignment horizontal="center"/>
      <protection locked="0"/>
    </xf>
    <xf numFmtId="0" fontId="0" fillId="0" borderId="53" xfId="0" applyBorder="1" applyAlignment="1">
      <alignment horizontal="center"/>
    </xf>
    <xf numFmtId="58" fontId="5" fillId="0" borderId="54" xfId="0" applyNumberFormat="1" applyFont="1" applyBorder="1" applyAlignment="1" applyProtection="1">
      <alignment horizontal="left"/>
      <protection locked="0"/>
    </xf>
    <xf numFmtId="0" fontId="0" fillId="0" borderId="54" xfId="0" applyBorder="1" applyAlignment="1" applyProtection="1">
      <alignment horizontal="center"/>
      <protection locked="0"/>
    </xf>
    <xf numFmtId="0" fontId="0" fillId="0" borderId="53" xfId="0" applyBorder="1" applyAlignment="1">
      <alignment horizontal="left"/>
    </xf>
    <xf numFmtId="0" fontId="0" fillId="0" borderId="54" xfId="0" applyBorder="1" applyProtection="1">
      <protection locked="0"/>
    </xf>
    <xf numFmtId="0" fontId="0" fillId="0" borderId="58" xfId="0" applyBorder="1" applyAlignment="1" applyProtection="1">
      <alignment horizontal="center"/>
      <protection locked="0"/>
    </xf>
    <xf numFmtId="0" fontId="0" fillId="3" borderId="41" xfId="0" applyFill="1" applyBorder="1" applyAlignment="1" applyProtection="1">
      <alignment horizontal="center"/>
      <protection locked="0"/>
    </xf>
    <xf numFmtId="38" fontId="0" fillId="0" borderId="59" xfId="1" applyFont="1" applyBorder="1"/>
    <xf numFmtId="38" fontId="0" fillId="0" borderId="60" xfId="1" applyFont="1" applyBorder="1"/>
    <xf numFmtId="38" fontId="0" fillId="0" borderId="61" xfId="1" applyFont="1" applyBorder="1"/>
    <xf numFmtId="38" fontId="2" fillId="0" borderId="55" xfId="1" applyBorder="1" applyProtection="1">
      <protection locked="0"/>
    </xf>
    <xf numFmtId="38" fontId="2" fillId="0" borderId="56" xfId="1" applyBorder="1" applyProtection="1">
      <protection locked="0"/>
    </xf>
    <xf numFmtId="38" fontId="2" fillId="0" borderId="57" xfId="1" applyBorder="1"/>
    <xf numFmtId="0" fontId="0" fillId="2" borderId="27" xfId="0" applyFill="1" applyBorder="1" applyAlignment="1">
      <alignment horizontal="center"/>
    </xf>
    <xf numFmtId="0" fontId="0" fillId="2" borderId="62" xfId="0" applyFill="1" applyBorder="1"/>
    <xf numFmtId="0" fontId="0" fillId="2" borderId="63" xfId="0" applyFill="1" applyBorder="1"/>
    <xf numFmtId="0" fontId="0" fillId="0" borderId="64" xfId="0" applyBorder="1"/>
    <xf numFmtId="0" fontId="0" fillId="0" borderId="3" xfId="0" applyBorder="1" applyAlignment="1">
      <alignment horizontal="center"/>
    </xf>
    <xf numFmtId="0" fontId="0" fillId="0" borderId="65" xfId="0" applyBorder="1"/>
    <xf numFmtId="0" fontId="0" fillId="3" borderId="66" xfId="0" applyFill="1" applyBorder="1"/>
    <xf numFmtId="0" fontId="0" fillId="3" borderId="67" xfId="0" applyFill="1" applyBorder="1"/>
    <xf numFmtId="0" fontId="0" fillId="3" borderId="68" xfId="0" applyFill="1" applyBorder="1"/>
    <xf numFmtId="0" fontId="0" fillId="3" borderId="69" xfId="0" applyFill="1" applyBorder="1" applyProtection="1">
      <protection locked="0"/>
    </xf>
    <xf numFmtId="0" fontId="0" fillId="3" borderId="70" xfId="0" applyFill="1" applyBorder="1" applyProtection="1">
      <protection locked="0"/>
    </xf>
    <xf numFmtId="0" fontId="0" fillId="3" borderId="71" xfId="0" applyFill="1" applyBorder="1" applyProtection="1">
      <protection locked="0"/>
    </xf>
    <xf numFmtId="0" fontId="0" fillId="3" borderId="72" xfId="0" applyFill="1" applyBorder="1" applyProtection="1">
      <protection locked="0"/>
    </xf>
    <xf numFmtId="0" fontId="0" fillId="3" borderId="73" xfId="0" applyFill="1" applyBorder="1" applyProtection="1">
      <protection locked="0"/>
    </xf>
    <xf numFmtId="0" fontId="0" fillId="3" borderId="74" xfId="0" applyFill="1" applyBorder="1" applyProtection="1">
      <protection locked="0"/>
    </xf>
    <xf numFmtId="0" fontId="0" fillId="4" borderId="75" xfId="0" applyFill="1" applyBorder="1"/>
    <xf numFmtId="0" fontId="0" fillId="4" borderId="76" xfId="0" applyFill="1" applyBorder="1"/>
    <xf numFmtId="0" fontId="0" fillId="4" borderId="77" xfId="0" applyFill="1" applyBorder="1"/>
    <xf numFmtId="0" fontId="0" fillId="4" borderId="78" xfId="0" applyFill="1" applyBorder="1"/>
    <xf numFmtId="0" fontId="0" fillId="0" borderId="0" xfId="0" applyProtection="1">
      <protection locked="0"/>
    </xf>
    <xf numFmtId="0" fontId="0" fillId="5" borderId="43" xfId="0" applyFill="1" applyBorder="1" applyAlignment="1">
      <alignment horizontal="center" vertical="center" wrapText="1"/>
    </xf>
    <xf numFmtId="0" fontId="0" fillId="5" borderId="40" xfId="0" applyFill="1" applyBorder="1"/>
    <xf numFmtId="0" fontId="0" fillId="5" borderId="41" xfId="0" applyFill="1" applyBorder="1"/>
    <xf numFmtId="0" fontId="0" fillId="5" borderId="42" xfId="0" applyFill="1" applyBorder="1"/>
    <xf numFmtId="0" fontId="0" fillId="5" borderId="47" xfId="0" applyFill="1" applyBorder="1" applyProtection="1">
      <protection locked="0"/>
    </xf>
    <xf numFmtId="0" fontId="0" fillId="2" borderId="26" xfId="0" applyFill="1" applyBorder="1" applyAlignment="1">
      <alignment horizontal="right"/>
    </xf>
    <xf numFmtId="0" fontId="0" fillId="0" borderId="2" xfId="0" applyBorder="1" applyAlignment="1">
      <alignment horizontal="right"/>
    </xf>
    <xf numFmtId="0" fontId="0" fillId="2" borderId="80" xfId="0" applyFill="1" applyBorder="1" applyAlignment="1">
      <alignment horizontal="center" vertical="center"/>
    </xf>
    <xf numFmtId="0" fontId="0" fillId="0" borderId="82" xfId="0" applyBorder="1"/>
    <xf numFmtId="0" fontId="0" fillId="0" borderId="83" xfId="0" applyBorder="1"/>
    <xf numFmtId="0" fontId="0" fillId="6" borderId="84" xfId="0" applyFill="1" applyBorder="1"/>
    <xf numFmtId="0" fontId="0" fillId="6" borderId="85" xfId="0" applyFill="1" applyBorder="1"/>
    <xf numFmtId="0" fontId="0" fillId="6" borderId="86" xfId="0" applyFill="1" applyBorder="1"/>
    <xf numFmtId="0" fontId="0" fillId="6" borderId="87" xfId="0" applyFill="1" applyBorder="1"/>
    <xf numFmtId="0" fontId="0" fillId="6" borderId="0" xfId="0" applyFill="1"/>
    <xf numFmtId="0" fontId="0" fillId="6" borderId="88" xfId="0" applyFill="1" applyBorder="1"/>
    <xf numFmtId="0" fontId="0" fillId="3" borderId="89" xfId="0" applyFill="1" applyBorder="1"/>
    <xf numFmtId="0" fontId="0" fillId="3" borderId="90" xfId="0" applyFill="1" applyBorder="1"/>
    <xf numFmtId="0" fontId="0" fillId="3" borderId="91" xfId="0" applyFill="1" applyBorder="1"/>
    <xf numFmtId="0" fontId="0" fillId="4" borderId="92" xfId="0" applyFill="1" applyBorder="1"/>
    <xf numFmtId="0" fontId="0" fillId="4" borderId="93" xfId="0" applyFill="1" applyBorder="1"/>
    <xf numFmtId="0" fontId="0" fillId="4" borderId="94" xfId="0" applyFill="1" applyBorder="1"/>
    <xf numFmtId="0" fontId="0" fillId="4" borderId="25" xfId="0" applyFill="1" applyBorder="1"/>
    <xf numFmtId="0" fontId="0" fillId="4" borderId="95" xfId="0" applyFill="1" applyBorder="1"/>
    <xf numFmtId="0" fontId="0" fillId="4" borderId="96" xfId="0" applyFill="1" applyBorder="1"/>
    <xf numFmtId="0" fontId="0" fillId="6" borderId="97" xfId="0" applyFill="1" applyBorder="1"/>
    <xf numFmtId="0" fontId="0" fillId="6" borderId="98" xfId="0" applyFill="1" applyBorder="1"/>
    <xf numFmtId="0" fontId="0" fillId="6" borderId="79" xfId="0" applyFill="1" applyBorder="1"/>
    <xf numFmtId="0" fontId="12" fillId="0" borderId="0" xfId="0" applyFont="1"/>
    <xf numFmtId="0" fontId="11" fillId="0" borderId="0" xfId="0" applyFont="1"/>
    <xf numFmtId="0" fontId="8" fillId="0" borderId="0" xfId="0" applyFont="1"/>
    <xf numFmtId="0" fontId="9" fillId="0" borderId="0" xfId="0" applyFont="1"/>
    <xf numFmtId="0" fontId="14" fillId="2" borderId="37" xfId="0" applyFont="1" applyFill="1" applyBorder="1" applyAlignment="1">
      <alignment horizontal="center" vertical="center" wrapText="1"/>
    </xf>
    <xf numFmtId="0" fontId="14" fillId="2" borderId="37" xfId="0" applyFont="1" applyFill="1" applyBorder="1" applyAlignment="1">
      <alignment horizontal="center" vertical="center"/>
    </xf>
    <xf numFmtId="0" fontId="14" fillId="2" borderId="39" xfId="0" applyFont="1" applyFill="1" applyBorder="1" applyAlignment="1">
      <alignment horizontal="center" vertical="center" wrapText="1"/>
    </xf>
    <xf numFmtId="0" fontId="14" fillId="2" borderId="32" xfId="0" applyFont="1" applyFill="1" applyBorder="1" applyAlignment="1">
      <alignment horizontal="center" vertical="center"/>
    </xf>
    <xf numFmtId="0" fontId="14" fillId="2" borderId="33" xfId="0" applyFont="1" applyFill="1" applyBorder="1" applyAlignment="1">
      <alignment horizontal="center" vertical="center" wrapText="1"/>
    </xf>
    <xf numFmtId="0" fontId="14" fillId="2" borderId="34" xfId="0" applyFont="1" applyFill="1" applyBorder="1" applyAlignment="1">
      <alignment horizontal="center" vertical="center"/>
    </xf>
    <xf numFmtId="0" fontId="14" fillId="2" borderId="35" xfId="0" applyFont="1" applyFill="1" applyBorder="1" applyAlignment="1">
      <alignment horizontal="center" vertical="center"/>
    </xf>
    <xf numFmtId="0" fontId="15" fillId="2" borderId="35" xfId="0" applyFont="1" applyFill="1" applyBorder="1" applyAlignment="1">
      <alignment horizontal="center" vertical="center" textRotation="255"/>
    </xf>
    <xf numFmtId="0" fontId="14" fillId="2" borderId="36" xfId="0" applyFont="1" applyFill="1" applyBorder="1" applyAlignment="1">
      <alignment horizontal="center" vertical="center"/>
    </xf>
    <xf numFmtId="0" fontId="16" fillId="0" borderId="0" xfId="3">
      <alignment vertical="center"/>
    </xf>
    <xf numFmtId="0" fontId="16" fillId="0" borderId="0" xfId="3" applyAlignment="1">
      <alignment horizontal="center" vertical="center"/>
    </xf>
    <xf numFmtId="38" fontId="0" fillId="0" borderId="0" xfId="2" applyFont="1">
      <alignment vertical="center"/>
    </xf>
    <xf numFmtId="49" fontId="16" fillId="0" borderId="0" xfId="3" applyNumberFormat="1" applyAlignment="1">
      <alignment horizontal="center" vertical="center"/>
    </xf>
    <xf numFmtId="49" fontId="16" fillId="0" borderId="0" xfId="3" applyNumberFormat="1">
      <alignment vertical="center"/>
    </xf>
    <xf numFmtId="49" fontId="16" fillId="0" borderId="71" xfId="3" applyNumberFormat="1" applyBorder="1">
      <alignment vertical="center"/>
    </xf>
    <xf numFmtId="0" fontId="16" fillId="0" borderId="71" xfId="3" applyBorder="1">
      <alignment vertical="center"/>
    </xf>
    <xf numFmtId="49" fontId="16" fillId="0" borderId="99" xfId="3" applyNumberFormat="1" applyBorder="1">
      <alignment vertical="center"/>
    </xf>
    <xf numFmtId="0" fontId="16" fillId="4" borderId="71" xfId="3" applyFill="1" applyBorder="1" applyAlignment="1">
      <alignment horizontal="center" vertical="center"/>
    </xf>
    <xf numFmtId="49" fontId="16" fillId="4" borderId="71" xfId="3" applyNumberFormat="1" applyFill="1" applyBorder="1" applyAlignment="1">
      <alignment horizontal="center" vertical="center"/>
    </xf>
    <xf numFmtId="38" fontId="0" fillId="4" borderId="71" xfId="2" applyFont="1" applyFill="1" applyBorder="1" applyAlignment="1">
      <alignment horizontal="center" vertical="center"/>
    </xf>
    <xf numFmtId="49" fontId="0" fillId="4" borderId="71" xfId="2" applyNumberFormat="1" applyFont="1" applyFill="1" applyBorder="1" applyAlignment="1">
      <alignment horizontal="center" vertical="center"/>
    </xf>
    <xf numFmtId="0" fontId="0" fillId="4" borderId="71" xfId="2" applyNumberFormat="1" applyFont="1" applyFill="1" applyBorder="1" applyAlignment="1">
      <alignment horizontal="center" vertical="center"/>
    </xf>
    <xf numFmtId="0" fontId="16" fillId="0" borderId="71" xfId="3" applyBorder="1" applyAlignment="1">
      <alignment horizontal="center" vertical="center"/>
    </xf>
    <xf numFmtId="38" fontId="0" fillId="0" borderId="71" xfId="2" applyFont="1" applyBorder="1">
      <alignment vertical="center"/>
    </xf>
    <xf numFmtId="49" fontId="16" fillId="0" borderId="71" xfId="3" applyNumberFormat="1" applyBorder="1" applyAlignment="1">
      <alignment horizontal="center" vertical="center"/>
    </xf>
    <xf numFmtId="0" fontId="16" fillId="0" borderId="71" xfId="3" applyBorder="1" applyAlignment="1">
      <alignment horizontal="left" vertical="center"/>
    </xf>
    <xf numFmtId="0" fontId="14" fillId="2" borderId="102" xfId="0" applyFont="1" applyFill="1" applyBorder="1" applyAlignment="1">
      <alignment horizontal="center" vertical="center"/>
    </xf>
    <xf numFmtId="0" fontId="0" fillId="0" borderId="110" xfId="0" applyBorder="1"/>
    <xf numFmtId="0" fontId="0" fillId="3" borderId="122" xfId="0" applyFill="1" applyBorder="1" applyProtection="1">
      <protection locked="0"/>
    </xf>
    <xf numFmtId="0" fontId="0" fillId="3" borderId="99" xfId="0" applyFill="1" applyBorder="1" applyProtection="1">
      <protection locked="0"/>
    </xf>
    <xf numFmtId="0" fontId="0" fillId="3" borderId="123" xfId="0" applyFill="1" applyBorder="1" applyProtection="1">
      <protection locked="0"/>
    </xf>
    <xf numFmtId="0" fontId="0" fillId="4" borderId="124" xfId="0" applyFill="1" applyBorder="1"/>
    <xf numFmtId="0" fontId="0" fillId="4" borderId="22" xfId="0" applyFill="1" applyBorder="1"/>
    <xf numFmtId="0" fontId="0" fillId="4" borderId="125" xfId="0" applyFill="1" applyBorder="1"/>
    <xf numFmtId="0" fontId="0" fillId="4" borderId="126" xfId="0" applyFill="1" applyBorder="1"/>
    <xf numFmtId="0" fontId="0" fillId="4" borderId="127" xfId="0" applyFill="1" applyBorder="1"/>
    <xf numFmtId="0" fontId="30" fillId="0" borderId="0" xfId="0" applyFont="1"/>
    <xf numFmtId="0" fontId="0" fillId="0" borderId="0" xfId="0" applyAlignment="1">
      <alignment horizontal="left"/>
    </xf>
    <xf numFmtId="57" fontId="0" fillId="0" borderId="0" xfId="0" applyNumberFormat="1" applyAlignment="1">
      <alignment horizontal="left"/>
    </xf>
    <xf numFmtId="57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38" fontId="0" fillId="0" borderId="0" xfId="1" applyFont="1" applyAlignment="1">
      <alignment horizontal="right"/>
    </xf>
    <xf numFmtId="0" fontId="0" fillId="0" borderId="128" xfId="0" applyBorder="1"/>
    <xf numFmtId="0" fontId="0" fillId="0" borderId="129" xfId="0" applyBorder="1" applyAlignment="1">
      <alignment horizontal="left"/>
    </xf>
    <xf numFmtId="0" fontId="0" fillId="0" borderId="130" xfId="0" applyBorder="1" applyAlignment="1">
      <alignment horizontal="left"/>
    </xf>
    <xf numFmtId="57" fontId="0" fillId="0" borderId="130" xfId="0" applyNumberFormat="1" applyBorder="1" applyAlignment="1">
      <alignment horizontal="left"/>
    </xf>
    <xf numFmtId="0" fontId="0" fillId="0" borderId="130" xfId="0" applyBorder="1" applyAlignment="1">
      <alignment horizontal="center"/>
    </xf>
    <xf numFmtId="0" fontId="0" fillId="0" borderId="131" xfId="0" applyBorder="1"/>
    <xf numFmtId="0" fontId="0" fillId="0" borderId="132" xfId="0" applyBorder="1" applyAlignment="1">
      <alignment horizontal="left"/>
    </xf>
    <xf numFmtId="0" fontId="0" fillId="0" borderId="133" xfId="0" applyBorder="1"/>
    <xf numFmtId="0" fontId="0" fillId="0" borderId="134" xfId="0" applyBorder="1" applyAlignment="1">
      <alignment horizontal="left"/>
    </xf>
    <xf numFmtId="0" fontId="0" fillId="0" borderId="1" xfId="0" applyBorder="1" applyAlignment="1">
      <alignment horizontal="left"/>
    </xf>
    <xf numFmtId="57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35" xfId="0" applyBorder="1"/>
    <xf numFmtId="38" fontId="0" fillId="7" borderId="130" xfId="1" applyFont="1" applyFill="1" applyBorder="1" applyAlignment="1">
      <alignment horizontal="right"/>
    </xf>
    <xf numFmtId="38" fontId="0" fillId="7" borderId="0" xfId="1" applyFont="1" applyFill="1" applyAlignment="1">
      <alignment horizontal="right"/>
    </xf>
    <xf numFmtId="0" fontId="30" fillId="0" borderId="134" xfId="0" applyFont="1" applyBorder="1" applyAlignment="1">
      <alignment horizontal="left"/>
    </xf>
    <xf numFmtId="0" fontId="30" fillId="0" borderId="1" xfId="0" applyFont="1" applyBorder="1" applyAlignment="1">
      <alignment horizontal="left"/>
    </xf>
    <xf numFmtId="57" fontId="30" fillId="0" borderId="1" xfId="0" applyNumberFormat="1" applyFont="1" applyBorder="1" applyAlignment="1">
      <alignment horizontal="left"/>
    </xf>
    <xf numFmtId="38" fontId="0" fillId="7" borderId="1" xfId="1" applyFont="1" applyFill="1" applyBorder="1" applyAlignment="1">
      <alignment horizontal="right"/>
    </xf>
    <xf numFmtId="38" fontId="30" fillId="7" borderId="1" xfId="1" applyFont="1" applyFill="1" applyBorder="1" applyAlignment="1">
      <alignment horizontal="right"/>
    </xf>
    <xf numFmtId="0" fontId="0" fillId="0" borderId="99" xfId="0" applyBorder="1" applyAlignment="1">
      <alignment horizontal="left"/>
    </xf>
    <xf numFmtId="0" fontId="0" fillId="0" borderId="2" xfId="0" applyBorder="1" applyAlignment="1">
      <alignment horizontal="left"/>
    </xf>
    <xf numFmtId="57" fontId="0" fillId="0" borderId="2" xfId="0" applyNumberFormat="1" applyBorder="1" applyAlignment="1">
      <alignment horizontal="left"/>
    </xf>
    <xf numFmtId="0" fontId="0" fillId="0" borderId="2" xfId="0" applyBorder="1" applyAlignment="1">
      <alignment horizontal="center"/>
    </xf>
    <xf numFmtId="38" fontId="0" fillId="7" borderId="2" xfId="1" applyFont="1" applyFill="1" applyBorder="1" applyAlignment="1">
      <alignment horizontal="right"/>
    </xf>
    <xf numFmtId="0" fontId="30" fillId="0" borderId="128" xfId="0" applyFont="1" applyBorder="1"/>
    <xf numFmtId="0" fontId="0" fillId="0" borderId="19" xfId="0" applyBorder="1"/>
    <xf numFmtId="0" fontId="0" fillId="0" borderId="141" xfId="0" applyBorder="1"/>
    <xf numFmtId="0" fontId="0" fillId="0" borderId="78" xfId="0" applyBorder="1"/>
    <xf numFmtId="0" fontId="0" fillId="0" borderId="125" xfId="0" applyBorder="1"/>
    <xf numFmtId="0" fontId="0" fillId="0" borderId="143" xfId="0" applyBorder="1"/>
    <xf numFmtId="0" fontId="0" fillId="0" borderId="144" xfId="0" applyBorder="1"/>
    <xf numFmtId="0" fontId="0" fillId="0" borderId="104" xfId="0" applyBorder="1"/>
    <xf numFmtId="0" fontId="0" fillId="0" borderId="145" xfId="0" applyBorder="1"/>
    <xf numFmtId="0" fontId="0" fillId="0" borderId="94" xfId="0" applyBorder="1"/>
    <xf numFmtId="0" fontId="0" fillId="0" borderId="46" xfId="0" applyBorder="1"/>
    <xf numFmtId="0" fontId="0" fillId="0" borderId="76" xfId="0" applyBorder="1"/>
    <xf numFmtId="0" fontId="0" fillId="0" borderId="127" xfId="0" applyBorder="1"/>
    <xf numFmtId="0" fontId="0" fillId="0" borderId="147" xfId="0" applyBorder="1"/>
    <xf numFmtId="0" fontId="0" fillId="0" borderId="148" xfId="0" applyBorder="1"/>
    <xf numFmtId="0" fontId="0" fillId="0" borderId="149" xfId="0" applyBorder="1"/>
    <xf numFmtId="0" fontId="0" fillId="0" borderId="150" xfId="0" applyBorder="1"/>
    <xf numFmtId="0" fontId="0" fillId="0" borderId="151" xfId="0" applyBorder="1"/>
    <xf numFmtId="0" fontId="0" fillId="0" borderId="152" xfId="0" applyBorder="1"/>
    <xf numFmtId="0" fontId="0" fillId="2" borderId="153" xfId="0" applyFill="1" applyBorder="1" applyAlignment="1">
      <alignment horizontal="center" vertical="center"/>
    </xf>
    <xf numFmtId="0" fontId="0" fillId="2" borderId="154" xfId="0" applyFill="1" applyBorder="1" applyAlignment="1">
      <alignment horizontal="center" vertical="center"/>
    </xf>
    <xf numFmtId="0" fontId="0" fillId="2" borderId="155" xfId="0" applyFill="1" applyBorder="1" applyAlignment="1">
      <alignment horizontal="center" vertical="center"/>
    </xf>
    <xf numFmtId="0" fontId="0" fillId="2" borderId="156" xfId="0" applyFill="1" applyBorder="1" applyAlignment="1">
      <alignment horizontal="center" vertical="center"/>
    </xf>
    <xf numFmtId="0" fontId="0" fillId="2" borderId="157" xfId="0" applyFill="1" applyBorder="1" applyAlignment="1">
      <alignment horizontal="center" vertical="center"/>
    </xf>
    <xf numFmtId="0" fontId="0" fillId="2" borderId="158" xfId="0" applyFill="1" applyBorder="1" applyAlignment="1">
      <alignment horizontal="center" vertical="center"/>
    </xf>
    <xf numFmtId="0" fontId="0" fillId="2" borderId="159" xfId="0" applyFill="1" applyBorder="1" applyAlignment="1">
      <alignment horizontal="center" vertical="center"/>
    </xf>
    <xf numFmtId="57" fontId="30" fillId="0" borderId="0" xfId="0" applyNumberFormat="1" applyFont="1" applyAlignment="1">
      <alignment horizontal="left"/>
    </xf>
    <xf numFmtId="0" fontId="30" fillId="0" borderId="132" xfId="0" applyFont="1" applyBorder="1" applyAlignment="1">
      <alignment horizontal="left"/>
    </xf>
    <xf numFmtId="0" fontId="30" fillId="0" borderId="0" xfId="0" applyFont="1" applyAlignment="1">
      <alignment horizontal="left"/>
    </xf>
    <xf numFmtId="0" fontId="30" fillId="0" borderId="0" xfId="0" applyFont="1" applyAlignment="1">
      <alignment horizontal="center"/>
    </xf>
    <xf numFmtId="38" fontId="30" fillId="7" borderId="0" xfId="1" applyFont="1" applyFill="1" applyAlignment="1">
      <alignment horizontal="right"/>
    </xf>
    <xf numFmtId="0" fontId="30" fillId="0" borderId="133" xfId="0" applyFont="1" applyBorder="1"/>
    <xf numFmtId="0" fontId="30" fillId="0" borderId="1" xfId="0" applyFont="1" applyBorder="1" applyAlignment="1">
      <alignment horizontal="center"/>
    </xf>
    <xf numFmtId="0" fontId="0" fillId="0" borderId="130" xfId="0" applyBorder="1"/>
    <xf numFmtId="0" fontId="0" fillId="8" borderId="129" xfId="0" applyFill="1" applyBorder="1" applyAlignment="1">
      <alignment horizontal="center"/>
    </xf>
    <xf numFmtId="0" fontId="0" fillId="8" borderId="130" xfId="0" applyFill="1" applyBorder="1" applyAlignment="1">
      <alignment horizontal="center"/>
    </xf>
    <xf numFmtId="0" fontId="0" fillId="8" borderId="131" xfId="0" applyFill="1" applyBorder="1" applyAlignment="1">
      <alignment horizontal="center"/>
    </xf>
    <xf numFmtId="0" fontId="30" fillId="0" borderId="135" xfId="0" applyFont="1" applyBorder="1"/>
    <xf numFmtId="38" fontId="0" fillId="0" borderId="42" xfId="1" applyFont="1" applyBorder="1" applyAlignment="1">
      <alignment horizontal="right"/>
    </xf>
    <xf numFmtId="0" fontId="0" fillId="0" borderId="134" xfId="0" applyBorder="1"/>
    <xf numFmtId="0" fontId="16" fillId="0" borderId="99" xfId="3" applyBorder="1">
      <alignment vertical="center"/>
    </xf>
    <xf numFmtId="0" fontId="31" fillId="0" borderId="0" xfId="3" applyFont="1">
      <alignment vertical="center"/>
    </xf>
    <xf numFmtId="0" fontId="1" fillId="0" borderId="0" xfId="3" applyFont="1">
      <alignment vertical="center"/>
    </xf>
    <xf numFmtId="0" fontId="16" fillId="9" borderId="71" xfId="3" applyFill="1" applyBorder="1" applyAlignment="1">
      <alignment horizontal="center" vertical="center"/>
    </xf>
    <xf numFmtId="0" fontId="16" fillId="9" borderId="99" xfId="3" applyFill="1" applyBorder="1" applyAlignment="1">
      <alignment horizontal="center" vertical="center"/>
    </xf>
    <xf numFmtId="0" fontId="31" fillId="0" borderId="2" xfId="3" applyFont="1" applyBorder="1">
      <alignment vertical="center"/>
    </xf>
    <xf numFmtId="0" fontId="1" fillId="0" borderId="2" xfId="3" applyFont="1" applyBorder="1">
      <alignment vertical="center"/>
    </xf>
    <xf numFmtId="0" fontId="1" fillId="0" borderId="99" xfId="3" applyFont="1" applyBorder="1">
      <alignment vertical="center"/>
    </xf>
    <xf numFmtId="0" fontId="16" fillId="0" borderId="128" xfId="3" applyBorder="1">
      <alignment vertical="center"/>
    </xf>
    <xf numFmtId="0" fontId="16" fillId="0" borderId="132" xfId="3" applyBorder="1">
      <alignment vertical="center"/>
    </xf>
    <xf numFmtId="0" fontId="1" fillId="0" borderId="132" xfId="3" applyFont="1" applyBorder="1">
      <alignment vertical="center"/>
    </xf>
    <xf numFmtId="0" fontId="31" fillId="0" borderId="0" xfId="3" applyFont="1" applyAlignment="1">
      <alignment horizontal="left" vertical="center"/>
    </xf>
    <xf numFmtId="0" fontId="16" fillId="0" borderId="133" xfId="3" applyBorder="1">
      <alignment vertical="center"/>
    </xf>
    <xf numFmtId="0" fontId="16" fillId="0" borderId="160" xfId="3" applyBorder="1">
      <alignment vertical="center"/>
    </xf>
    <xf numFmtId="0" fontId="16" fillId="10" borderId="71" xfId="3" applyFill="1" applyBorder="1" applyAlignment="1">
      <alignment horizontal="center" vertical="center"/>
    </xf>
    <xf numFmtId="176" fontId="16" fillId="0" borderId="71" xfId="3" applyNumberFormat="1" applyBorder="1">
      <alignment vertical="center"/>
    </xf>
    <xf numFmtId="38" fontId="16" fillId="0" borderId="71" xfId="1" applyFont="1" applyBorder="1" applyAlignment="1">
      <alignment vertical="center"/>
    </xf>
    <xf numFmtId="0" fontId="16" fillId="10" borderId="163" xfId="3" applyFill="1" applyBorder="1" applyAlignment="1">
      <alignment horizontal="center" vertical="center"/>
    </xf>
    <xf numFmtId="0" fontId="16" fillId="0" borderId="163" xfId="3" applyBorder="1">
      <alignment vertical="center"/>
    </xf>
    <xf numFmtId="176" fontId="16" fillId="0" borderId="163" xfId="3" applyNumberFormat="1" applyBorder="1">
      <alignment vertical="center"/>
    </xf>
    <xf numFmtId="0" fontId="16" fillId="10" borderId="164" xfId="3" applyFill="1" applyBorder="1" applyAlignment="1">
      <alignment horizontal="center" vertical="center"/>
    </xf>
    <xf numFmtId="0" fontId="16" fillId="0" borderId="164" xfId="3" applyBorder="1">
      <alignment vertical="center"/>
    </xf>
    <xf numFmtId="38" fontId="16" fillId="0" borderId="164" xfId="1" applyFont="1" applyBorder="1" applyAlignment="1">
      <alignment vertical="center"/>
    </xf>
    <xf numFmtId="176" fontId="16" fillId="0" borderId="164" xfId="3" applyNumberFormat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99" xfId="0" applyFont="1" applyBorder="1" applyAlignment="1">
      <alignment horizontal="left"/>
    </xf>
    <xf numFmtId="0" fontId="30" fillId="0" borderId="2" xfId="0" applyFont="1" applyBorder="1" applyAlignment="1">
      <alignment horizontal="left"/>
    </xf>
    <xf numFmtId="57" fontId="30" fillId="0" borderId="2" xfId="0" applyNumberFormat="1" applyFont="1" applyBorder="1" applyAlignment="1">
      <alignment horizontal="left"/>
    </xf>
    <xf numFmtId="0" fontId="30" fillId="0" borderId="2" xfId="0" applyFont="1" applyBorder="1" applyAlignment="1">
      <alignment horizontal="center"/>
    </xf>
    <xf numFmtId="0" fontId="30" fillId="0" borderId="2" xfId="0" applyFont="1" applyBorder="1" applyAlignment="1">
      <alignment horizontal="center" vertical="center"/>
    </xf>
    <xf numFmtId="38" fontId="30" fillId="7" borderId="2" xfId="1" applyFont="1" applyFill="1" applyBorder="1" applyAlignment="1">
      <alignment horizontal="right"/>
    </xf>
    <xf numFmtId="0" fontId="30" fillId="0" borderId="129" xfId="0" applyFont="1" applyBorder="1" applyAlignment="1">
      <alignment horizontal="left"/>
    </xf>
    <xf numFmtId="0" fontId="30" fillId="0" borderId="130" xfId="0" applyFont="1" applyBorder="1" applyAlignment="1">
      <alignment horizontal="left"/>
    </xf>
    <xf numFmtId="57" fontId="30" fillId="0" borderId="130" xfId="0" applyNumberFormat="1" applyFont="1" applyBorder="1" applyAlignment="1">
      <alignment horizontal="left"/>
    </xf>
    <xf numFmtId="0" fontId="30" fillId="0" borderId="130" xfId="0" applyFont="1" applyBorder="1" applyAlignment="1">
      <alignment horizontal="center"/>
    </xf>
    <xf numFmtId="0" fontId="30" fillId="0" borderId="130" xfId="0" applyFont="1" applyBorder="1" applyAlignment="1">
      <alignment horizontal="center" vertical="center"/>
    </xf>
    <xf numFmtId="38" fontId="30" fillId="7" borderId="130" xfId="1" applyFont="1" applyFill="1" applyBorder="1" applyAlignment="1">
      <alignment horizontal="right"/>
    </xf>
    <xf numFmtId="0" fontId="30" fillId="0" borderId="131" xfId="0" applyFont="1" applyBorder="1"/>
    <xf numFmtId="0" fontId="0" fillId="0" borderId="0" xfId="0" applyFill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0" xfId="0" applyFill="1" applyBorder="1"/>
    <xf numFmtId="0" fontId="0" fillId="0" borderId="11" xfId="0" applyFill="1" applyBorder="1"/>
    <xf numFmtId="0" fontId="0" fillId="0" borderId="12" xfId="0" applyFill="1" applyBorder="1"/>
    <xf numFmtId="0" fontId="0" fillId="0" borderId="13" xfId="0" applyFill="1" applyBorder="1"/>
    <xf numFmtId="0" fontId="0" fillId="0" borderId="103" xfId="0" applyFill="1" applyBorder="1"/>
    <xf numFmtId="0" fontId="0" fillId="0" borderId="15" xfId="0" applyFill="1" applyBorder="1"/>
    <xf numFmtId="0" fontId="0" fillId="0" borderId="40" xfId="0" applyFill="1" applyBorder="1"/>
    <xf numFmtId="0" fontId="0" fillId="0" borderId="81" xfId="0" applyFill="1" applyBorder="1"/>
    <xf numFmtId="0" fontId="0" fillId="0" borderId="21" xfId="0" applyFill="1" applyBorder="1" applyAlignment="1" applyProtection="1">
      <alignment horizontal="center"/>
      <protection locked="0"/>
    </xf>
    <xf numFmtId="49" fontId="0" fillId="0" borderId="16" xfId="0" applyNumberFormat="1" applyFill="1" applyBorder="1" applyProtection="1">
      <protection locked="0"/>
    </xf>
    <xf numFmtId="0" fontId="0" fillId="0" borderId="24" xfId="0" applyFill="1" applyBorder="1" applyAlignment="1" applyProtection="1">
      <alignment horizontal="left"/>
      <protection locked="0"/>
    </xf>
    <xf numFmtId="0" fontId="0" fillId="0" borderId="22" xfId="0" applyFill="1" applyBorder="1" applyAlignment="1" applyProtection="1">
      <alignment horizontal="center"/>
      <protection locked="0"/>
    </xf>
    <xf numFmtId="0" fontId="0" fillId="0" borderId="23" xfId="0" applyFill="1" applyBorder="1" applyAlignment="1">
      <alignment horizontal="center"/>
    </xf>
    <xf numFmtId="58" fontId="5" fillId="0" borderId="17" xfId="0" applyNumberFormat="1" applyFont="1" applyFill="1" applyBorder="1" applyAlignment="1" applyProtection="1">
      <alignment horizontal="left"/>
      <protection locked="0"/>
    </xf>
    <xf numFmtId="0" fontId="0" fillId="0" borderId="17" xfId="0" applyFill="1" applyBorder="1" applyAlignment="1" applyProtection="1">
      <alignment horizontal="center"/>
      <protection locked="0"/>
    </xf>
    <xf numFmtId="0" fontId="0" fillId="0" borderId="23" xfId="0" applyFill="1" applyBorder="1" applyAlignment="1">
      <alignment horizontal="left"/>
    </xf>
    <xf numFmtId="38" fontId="2" fillId="0" borderId="18" xfId="1" applyFill="1" applyBorder="1" applyProtection="1">
      <protection locked="0"/>
    </xf>
    <xf numFmtId="38" fontId="2" fillId="0" borderId="19" xfId="1" applyFill="1" applyBorder="1" applyProtection="1">
      <protection locked="0"/>
    </xf>
    <xf numFmtId="38" fontId="2" fillId="0" borderId="104" xfId="1" applyFill="1" applyBorder="1"/>
    <xf numFmtId="0" fontId="0" fillId="0" borderId="19" xfId="0" applyFill="1" applyBorder="1" applyProtection="1">
      <protection locked="0"/>
    </xf>
    <xf numFmtId="0" fontId="0" fillId="0" borderId="25" xfId="0" applyFill="1" applyBorder="1" applyAlignment="1" applyProtection="1">
      <alignment horizontal="center"/>
      <protection locked="0"/>
    </xf>
    <xf numFmtId="0" fontId="0" fillId="0" borderId="47" xfId="0" applyFill="1" applyBorder="1" applyAlignment="1" applyProtection="1">
      <alignment horizontal="center"/>
      <protection locked="0"/>
    </xf>
    <xf numFmtId="0" fontId="0" fillId="0" borderId="47" xfId="0" applyFill="1" applyBorder="1" applyProtection="1">
      <protection locked="0"/>
    </xf>
    <xf numFmtId="0" fontId="0" fillId="0" borderId="82" xfId="0" applyFill="1" applyBorder="1"/>
    <xf numFmtId="38" fontId="1" fillId="0" borderId="18" xfId="1" applyFont="1" applyFill="1" applyBorder="1" applyProtection="1">
      <protection locked="0"/>
    </xf>
    <xf numFmtId="38" fontId="1" fillId="0" borderId="19" xfId="1" applyFont="1" applyFill="1" applyBorder="1" applyProtection="1">
      <protection locked="0"/>
    </xf>
    <xf numFmtId="38" fontId="1" fillId="0" borderId="104" xfId="1" applyFont="1" applyFill="1" applyBorder="1"/>
    <xf numFmtId="0" fontId="0" fillId="0" borderId="100" xfId="0" applyFill="1" applyBorder="1" applyAlignment="1" applyProtection="1">
      <alignment horizontal="center"/>
      <protection locked="0"/>
    </xf>
    <xf numFmtId="49" fontId="0" fillId="0" borderId="107" xfId="0" applyNumberFormat="1" applyFill="1" applyBorder="1" applyProtection="1">
      <protection locked="0"/>
    </xf>
    <xf numFmtId="0" fontId="0" fillId="0" borderId="10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3" xfId="0" applyFill="1" applyBorder="1" applyAlignment="1">
      <alignment horizontal="center"/>
    </xf>
    <xf numFmtId="58" fontId="5" fillId="0" borderId="4" xfId="0" applyNumberFormat="1" applyFont="1" applyFill="1" applyBorder="1" applyAlignment="1" applyProtection="1">
      <alignment horizontal="left"/>
      <protection locked="0"/>
    </xf>
    <xf numFmtId="0" fontId="0" fillId="0" borderId="4" xfId="0" applyFill="1" applyBorder="1" applyAlignment="1" applyProtection="1">
      <alignment horizontal="center"/>
      <protection locked="0"/>
    </xf>
    <xf numFmtId="0" fontId="0" fillId="0" borderId="3" xfId="0" applyFill="1" applyBorder="1" applyAlignment="1">
      <alignment horizontal="left"/>
    </xf>
    <xf numFmtId="38" fontId="2" fillId="0" borderId="59" xfId="1" applyFill="1" applyBorder="1" applyProtection="1">
      <protection locked="0"/>
    </xf>
    <xf numFmtId="38" fontId="2" fillId="0" borderId="60" xfId="1" applyFill="1" applyBorder="1" applyProtection="1">
      <protection locked="0"/>
    </xf>
    <xf numFmtId="38" fontId="2" fillId="0" borderId="105" xfId="1" applyFill="1" applyBorder="1"/>
    <xf numFmtId="0" fontId="0" fillId="0" borderId="60" xfId="0" applyFill="1" applyBorder="1" applyProtection="1">
      <protection locked="0"/>
    </xf>
    <xf numFmtId="0" fontId="0" fillId="0" borderId="5" xfId="0" applyFill="1" applyBorder="1" applyAlignment="1" applyProtection="1">
      <alignment horizontal="center"/>
      <protection locked="0"/>
    </xf>
    <xf numFmtId="0" fontId="0" fillId="0" borderId="41" xfId="0" applyFill="1" applyBorder="1"/>
    <xf numFmtId="57" fontId="0" fillId="0" borderId="0" xfId="0" applyNumberFormat="1" applyBorder="1" applyAlignment="1">
      <alignment horizontal="left"/>
    </xf>
    <xf numFmtId="0" fontId="1" fillId="0" borderId="47" xfId="0" applyFont="1" applyFill="1" applyBorder="1" applyProtection="1">
      <protection locked="0"/>
    </xf>
    <xf numFmtId="0" fontId="0" fillId="0" borderId="99" xfId="0" applyFill="1" applyBorder="1" applyAlignment="1">
      <alignment horizontal="left"/>
    </xf>
    <xf numFmtId="0" fontId="0" fillId="0" borderId="2" xfId="0" applyFill="1" applyBorder="1"/>
    <xf numFmtId="57" fontId="0" fillId="0" borderId="2" xfId="0" applyNumberFormat="1" applyFill="1" applyBorder="1" applyAlignment="1">
      <alignment horizontal="left"/>
    </xf>
    <xf numFmtId="0" fontId="0" fillId="0" borderId="2" xfId="0" applyFill="1" applyBorder="1" applyAlignment="1">
      <alignment horizontal="center"/>
    </xf>
    <xf numFmtId="0" fontId="0" fillId="0" borderId="2" xfId="0" applyFill="1" applyBorder="1" applyAlignment="1">
      <alignment horizontal="center" vertical="center"/>
    </xf>
    <xf numFmtId="0" fontId="30" fillId="0" borderId="128" xfId="0" applyFont="1" applyFill="1" applyBorder="1"/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38" fontId="0" fillId="7" borderId="0" xfId="1" applyFont="1" applyFill="1" applyBorder="1" applyAlignment="1">
      <alignment horizontal="right"/>
    </xf>
    <xf numFmtId="0" fontId="30" fillId="0" borderId="0" xfId="0" applyFont="1" applyBorder="1" applyAlignment="1">
      <alignment horizontal="left"/>
    </xf>
    <xf numFmtId="57" fontId="30" fillId="0" borderId="0" xfId="0" applyNumberFormat="1" applyFont="1" applyBorder="1" applyAlignment="1">
      <alignment horizontal="left"/>
    </xf>
    <xf numFmtId="0" fontId="30" fillId="0" borderId="0" xfId="0" applyFont="1" applyBorder="1" applyAlignment="1">
      <alignment horizontal="center"/>
    </xf>
    <xf numFmtId="38" fontId="30" fillId="7" borderId="0" xfId="1" applyFont="1" applyFill="1" applyBorder="1" applyAlignment="1">
      <alignment horizontal="right"/>
    </xf>
    <xf numFmtId="49" fontId="16" fillId="7" borderId="71" xfId="3" applyNumberFormat="1" applyFill="1" applyBorder="1">
      <alignment vertical="center"/>
    </xf>
    <xf numFmtId="49" fontId="16" fillId="11" borderId="71" xfId="3" applyNumberFormat="1" applyFill="1" applyBorder="1">
      <alignment vertical="center"/>
    </xf>
    <xf numFmtId="0" fontId="16" fillId="0" borderId="71" xfId="3" applyFill="1" applyBorder="1">
      <alignment vertical="center"/>
    </xf>
    <xf numFmtId="0" fontId="16" fillId="0" borderId="71" xfId="3" applyFill="1" applyBorder="1" applyAlignment="1">
      <alignment horizontal="center" vertical="center"/>
    </xf>
    <xf numFmtId="38" fontId="0" fillId="0" borderId="71" xfId="2" applyFont="1" applyFill="1" applyBorder="1">
      <alignment vertical="center"/>
    </xf>
    <xf numFmtId="49" fontId="16" fillId="0" borderId="71" xfId="3" applyNumberFormat="1" applyFill="1" applyBorder="1" applyAlignment="1">
      <alignment horizontal="center" vertical="center"/>
    </xf>
    <xf numFmtId="0" fontId="16" fillId="0" borderId="71" xfId="3" applyFill="1" applyBorder="1" applyAlignment="1">
      <alignment horizontal="left" vertical="center"/>
    </xf>
    <xf numFmtId="0" fontId="0" fillId="0" borderId="22" xfId="0" applyFont="1" applyFill="1" applyBorder="1" applyAlignment="1" applyProtection="1">
      <alignment horizontal="center"/>
      <protection locked="0"/>
    </xf>
    <xf numFmtId="0" fontId="0" fillId="0" borderId="129" xfId="0" applyFill="1" applyBorder="1" applyAlignment="1">
      <alignment horizontal="left"/>
    </xf>
    <xf numFmtId="0" fontId="0" fillId="0" borderId="130" xfId="0" applyFill="1" applyBorder="1"/>
    <xf numFmtId="57" fontId="0" fillId="0" borderId="130" xfId="0" applyNumberFormat="1" applyFill="1" applyBorder="1" applyAlignment="1">
      <alignment horizontal="left"/>
    </xf>
    <xf numFmtId="0" fontId="0" fillId="0" borderId="130" xfId="0" applyFill="1" applyBorder="1" applyAlignment="1">
      <alignment horizontal="center"/>
    </xf>
    <xf numFmtId="0" fontId="0" fillId="0" borderId="130" xfId="0" applyFill="1" applyBorder="1" applyAlignment="1">
      <alignment horizontal="center" vertical="center"/>
    </xf>
    <xf numFmtId="0" fontId="30" fillId="0" borderId="131" xfId="0" applyFont="1" applyFill="1" applyBorder="1"/>
    <xf numFmtId="0" fontId="0" fillId="0" borderId="134" xfId="0" applyFill="1" applyBorder="1" applyAlignment="1">
      <alignment horizontal="left"/>
    </xf>
    <xf numFmtId="0" fontId="0" fillId="0" borderId="1" xfId="0" applyFill="1" applyBorder="1"/>
    <xf numFmtId="57" fontId="0" fillId="0" borderId="1" xfId="0" applyNumberFormat="1" applyFill="1" applyBorder="1" applyAlignment="1">
      <alignment horizontal="left"/>
    </xf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30" fillId="0" borderId="135" xfId="0" applyFont="1" applyFill="1" applyBorder="1"/>
    <xf numFmtId="0" fontId="0" fillId="0" borderId="62" xfId="0" applyFill="1" applyBorder="1"/>
    <xf numFmtId="49" fontId="0" fillId="0" borderId="26" xfId="0" applyNumberFormat="1" applyFill="1" applyBorder="1"/>
    <xf numFmtId="0" fontId="0" fillId="0" borderId="27" xfId="0" applyFill="1" applyBorder="1"/>
    <xf numFmtId="0" fontId="0" fillId="0" borderId="26" xfId="0" applyFill="1" applyBorder="1"/>
    <xf numFmtId="0" fontId="0" fillId="0" borderId="28" xfId="0" applyFill="1" applyBorder="1"/>
    <xf numFmtId="0" fontId="0" fillId="0" borderId="29" xfId="0" applyFill="1" applyBorder="1"/>
    <xf numFmtId="0" fontId="0" fillId="0" borderId="106" xfId="0" applyFill="1" applyBorder="1"/>
    <xf numFmtId="0" fontId="0" fillId="0" borderId="31" xfId="0" applyFill="1" applyBorder="1"/>
    <xf numFmtId="0" fontId="0" fillId="0" borderId="42" xfId="0" applyFill="1" applyBorder="1"/>
    <xf numFmtId="0" fontId="0" fillId="0" borderId="109" xfId="0" applyFill="1" applyBorder="1"/>
    <xf numFmtId="177" fontId="5" fillId="0" borderId="17" xfId="0" applyNumberFormat="1" applyFont="1" applyFill="1" applyBorder="1" applyAlignment="1" applyProtection="1">
      <alignment horizontal="left"/>
      <protection locked="0"/>
    </xf>
    <xf numFmtId="177" fontId="5" fillId="0" borderId="4" xfId="0" applyNumberFormat="1" applyFont="1" applyFill="1" applyBorder="1" applyAlignment="1" applyProtection="1">
      <alignment horizontal="left"/>
      <protection locked="0"/>
    </xf>
    <xf numFmtId="0" fontId="0" fillId="0" borderId="146" xfId="0" applyFill="1" applyBorder="1"/>
    <xf numFmtId="0" fontId="0" fillId="0" borderId="147" xfId="0" applyFill="1" applyBorder="1"/>
    <xf numFmtId="0" fontId="0" fillId="0" borderId="139" xfId="0" applyFill="1" applyBorder="1"/>
    <xf numFmtId="0" fontId="0" fillId="0" borderId="19" xfId="0" applyFill="1" applyBorder="1"/>
    <xf numFmtId="0" fontId="0" fillId="0" borderId="140" xfId="0" applyFill="1" applyBorder="1"/>
    <xf numFmtId="0" fontId="0" fillId="0" borderId="141" xfId="0" applyFill="1" applyBorder="1"/>
    <xf numFmtId="38" fontId="0" fillId="0" borderId="19" xfId="1" applyFont="1" applyFill="1" applyBorder="1" applyProtection="1">
      <protection locked="0"/>
    </xf>
    <xf numFmtId="0" fontId="0" fillId="12" borderId="21" xfId="0" applyFill="1" applyBorder="1" applyAlignment="1" applyProtection="1">
      <alignment horizontal="center"/>
      <protection locked="0"/>
    </xf>
    <xf numFmtId="49" fontId="0" fillId="12" borderId="16" xfId="0" applyNumberFormat="1" applyFill="1" applyBorder="1" applyProtection="1">
      <protection locked="0"/>
    </xf>
    <xf numFmtId="0" fontId="0" fillId="12" borderId="24" xfId="0" applyFill="1" applyBorder="1" applyAlignment="1" applyProtection="1">
      <alignment horizontal="left"/>
      <protection locked="0"/>
    </xf>
    <xf numFmtId="0" fontId="0" fillId="12" borderId="22" xfId="0" applyFill="1" applyBorder="1" applyAlignment="1" applyProtection="1">
      <alignment horizontal="center"/>
      <protection locked="0"/>
    </xf>
    <xf numFmtId="0" fontId="0" fillId="12" borderId="23" xfId="0" applyFill="1" applyBorder="1" applyAlignment="1">
      <alignment horizontal="center"/>
    </xf>
    <xf numFmtId="58" fontId="5" fillId="12" borderId="17" xfId="0" applyNumberFormat="1" applyFont="1" applyFill="1" applyBorder="1" applyAlignment="1" applyProtection="1">
      <alignment horizontal="left"/>
      <protection locked="0"/>
    </xf>
    <xf numFmtId="177" fontId="5" fillId="12" borderId="17" xfId="0" applyNumberFormat="1" applyFont="1" applyFill="1" applyBorder="1" applyAlignment="1" applyProtection="1">
      <alignment horizontal="left"/>
      <protection locked="0"/>
    </xf>
    <xf numFmtId="0" fontId="0" fillId="12" borderId="17" xfId="0" applyFill="1" applyBorder="1" applyAlignment="1" applyProtection="1">
      <alignment horizontal="center"/>
      <protection locked="0"/>
    </xf>
    <xf numFmtId="0" fontId="0" fillId="12" borderId="23" xfId="0" applyFill="1" applyBorder="1" applyAlignment="1">
      <alignment horizontal="left"/>
    </xf>
    <xf numFmtId="38" fontId="2" fillId="12" borderId="18" xfId="1" applyFill="1" applyBorder="1" applyProtection="1">
      <protection locked="0"/>
    </xf>
    <xf numFmtId="38" fontId="2" fillId="12" borderId="19" xfId="1" applyFill="1" applyBorder="1" applyProtection="1">
      <protection locked="0"/>
    </xf>
    <xf numFmtId="38" fontId="2" fillId="12" borderId="104" xfId="1" applyFill="1" applyBorder="1"/>
    <xf numFmtId="0" fontId="0" fillId="12" borderId="19" xfId="0" applyFill="1" applyBorder="1" applyProtection="1">
      <protection locked="0"/>
    </xf>
    <xf numFmtId="0" fontId="0" fillId="12" borderId="25" xfId="0" applyFill="1" applyBorder="1" applyAlignment="1" applyProtection="1">
      <alignment horizontal="center"/>
      <protection locked="0"/>
    </xf>
    <xf numFmtId="0" fontId="0" fillId="12" borderId="47" xfId="0" applyFill="1" applyBorder="1" applyAlignment="1" applyProtection="1">
      <alignment horizontal="center"/>
      <protection locked="0"/>
    </xf>
    <xf numFmtId="0" fontId="0" fillId="12" borderId="0" xfId="0" applyFill="1"/>
    <xf numFmtId="0" fontId="0" fillId="12" borderId="47" xfId="0" applyFill="1" applyBorder="1" applyProtection="1">
      <protection locked="0"/>
    </xf>
    <xf numFmtId="0" fontId="0" fillId="12" borderId="82" xfId="0" applyFill="1" applyBorder="1"/>
    <xf numFmtId="0" fontId="0" fillId="12" borderId="139" xfId="0" applyFill="1" applyBorder="1"/>
    <xf numFmtId="0" fontId="0" fillId="12" borderId="19" xfId="0" applyFill="1" applyBorder="1"/>
    <xf numFmtId="0" fontId="10" fillId="2" borderId="111" xfId="0" applyFont="1" applyFill="1" applyBorder="1" applyAlignment="1">
      <alignment horizontal="center" vertical="center"/>
    </xf>
    <xf numFmtId="0" fontId="10" fillId="2" borderId="112" xfId="0" applyFont="1" applyFill="1" applyBorder="1" applyAlignment="1">
      <alignment horizontal="center" vertical="center"/>
    </xf>
    <xf numFmtId="0" fontId="10" fillId="2" borderId="113" xfId="0" applyFont="1" applyFill="1" applyBorder="1" applyAlignment="1">
      <alignment horizontal="center" vertical="center"/>
    </xf>
    <xf numFmtId="0" fontId="10" fillId="2" borderId="114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2" borderId="115" xfId="0" applyFont="1" applyFill="1" applyBorder="1" applyAlignment="1">
      <alignment horizontal="center" vertical="center"/>
    </xf>
    <xf numFmtId="0" fontId="10" fillId="2" borderId="116" xfId="0" applyFont="1" applyFill="1" applyBorder="1" applyAlignment="1">
      <alignment horizontal="center" vertical="center"/>
    </xf>
    <xf numFmtId="0" fontId="10" fillId="2" borderId="117" xfId="0" applyFont="1" applyFill="1" applyBorder="1" applyAlignment="1">
      <alignment horizontal="center" vertical="center"/>
    </xf>
    <xf numFmtId="0" fontId="10" fillId="2" borderId="118" xfId="0" applyFont="1" applyFill="1" applyBorder="1" applyAlignment="1">
      <alignment horizontal="center" vertical="center"/>
    </xf>
    <xf numFmtId="0" fontId="0" fillId="2" borderId="136" xfId="0" applyFill="1" applyBorder="1" applyAlignment="1">
      <alignment horizontal="center" vertical="center"/>
    </xf>
    <xf numFmtId="0" fontId="0" fillId="2" borderId="122" xfId="0" applyFill="1" applyBorder="1" applyAlignment="1">
      <alignment horizontal="center" vertical="center"/>
    </xf>
    <xf numFmtId="0" fontId="0" fillId="2" borderId="138" xfId="0" applyFill="1" applyBorder="1" applyAlignment="1">
      <alignment horizontal="center" vertical="center"/>
    </xf>
    <xf numFmtId="0" fontId="6" fillId="0" borderId="98" xfId="0" applyFont="1" applyBorder="1" applyAlignment="1">
      <alignment horizontal="right"/>
    </xf>
    <xf numFmtId="0" fontId="6" fillId="0" borderId="111" xfId="0" applyFont="1" applyBorder="1" applyAlignment="1">
      <alignment horizontal="center" vertical="center"/>
    </xf>
    <xf numFmtId="0" fontId="6" fillId="0" borderId="112" xfId="0" applyFont="1" applyBorder="1" applyAlignment="1">
      <alignment horizontal="center" vertical="center"/>
    </xf>
    <xf numFmtId="0" fontId="6" fillId="0" borderId="113" xfId="0" applyFont="1" applyBorder="1" applyAlignment="1">
      <alignment horizontal="center" vertical="center"/>
    </xf>
    <xf numFmtId="0" fontId="6" fillId="0" borderId="120" xfId="0" applyFont="1" applyBorder="1" applyAlignment="1">
      <alignment horizontal="center" vertical="center"/>
    </xf>
    <xf numFmtId="0" fontId="6" fillId="0" borderId="98" xfId="0" applyFont="1" applyBorder="1" applyAlignment="1">
      <alignment horizontal="center" vertical="center"/>
    </xf>
    <xf numFmtId="0" fontId="6" fillId="0" borderId="121" xfId="0" applyFont="1" applyBorder="1" applyAlignment="1">
      <alignment horizontal="center" vertical="center"/>
    </xf>
    <xf numFmtId="58" fontId="0" fillId="0" borderId="98" xfId="0" applyNumberFormat="1" applyBorder="1" applyAlignment="1">
      <alignment horizontal="right"/>
    </xf>
    <xf numFmtId="0" fontId="13" fillId="0" borderId="0" xfId="0" applyFont="1" applyAlignment="1">
      <alignment horizontal="center" vertical="center"/>
    </xf>
    <xf numFmtId="0" fontId="13" fillId="0" borderId="98" xfId="0" applyFont="1" applyBorder="1" applyAlignment="1">
      <alignment horizontal="center" vertical="center"/>
    </xf>
    <xf numFmtId="0" fontId="14" fillId="2" borderId="119" xfId="0" applyFont="1" applyFill="1" applyBorder="1" applyAlignment="1">
      <alignment horizontal="center" vertical="center"/>
    </xf>
    <xf numFmtId="0" fontId="14" fillId="2" borderId="108" xfId="0" applyFont="1" applyFill="1" applyBorder="1" applyAlignment="1">
      <alignment horizontal="center" vertical="center"/>
    </xf>
    <xf numFmtId="0" fontId="6" fillId="0" borderId="111" xfId="0" applyFont="1" applyBorder="1" applyAlignment="1">
      <alignment horizontal="left" vertical="center"/>
    </xf>
    <xf numFmtId="0" fontId="6" fillId="0" borderId="112" xfId="0" applyFont="1" applyBorder="1" applyAlignment="1">
      <alignment horizontal="left" vertical="center"/>
    </xf>
    <xf numFmtId="0" fontId="6" fillId="0" borderId="113" xfId="0" applyFont="1" applyBorder="1" applyAlignment="1">
      <alignment horizontal="left" vertical="center"/>
    </xf>
    <xf numFmtId="0" fontId="6" fillId="0" borderId="120" xfId="0" applyFont="1" applyBorder="1" applyAlignment="1">
      <alignment horizontal="left" vertical="center"/>
    </xf>
    <xf numFmtId="0" fontId="6" fillId="0" borderId="98" xfId="0" applyFont="1" applyBorder="1" applyAlignment="1">
      <alignment horizontal="left" vertical="center"/>
    </xf>
    <xf numFmtId="0" fontId="6" fillId="0" borderId="121" xfId="0" applyFont="1" applyBorder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7" fillId="0" borderId="98" xfId="0" applyFont="1" applyBorder="1" applyAlignment="1">
      <alignment horizontal="center" vertical="center"/>
    </xf>
    <xf numFmtId="0" fontId="0" fillId="2" borderId="119" xfId="0" applyFill="1" applyBorder="1" applyAlignment="1">
      <alignment horizontal="center" vertical="center"/>
    </xf>
    <xf numFmtId="0" fontId="0" fillId="2" borderId="108" xfId="0" applyFill="1" applyBorder="1" applyAlignment="1">
      <alignment horizontal="center" vertical="center"/>
    </xf>
    <xf numFmtId="0" fontId="0" fillId="2" borderId="137" xfId="0" applyFill="1" applyBorder="1" applyAlignment="1">
      <alignment horizontal="center" vertical="center"/>
    </xf>
    <xf numFmtId="0" fontId="0" fillId="2" borderId="142" xfId="0" applyFill="1" applyBorder="1" applyAlignment="1">
      <alignment horizontal="center" vertical="center"/>
    </xf>
    <xf numFmtId="0" fontId="17" fillId="4" borderId="71" xfId="3" applyFont="1" applyFill="1" applyBorder="1" applyAlignment="1">
      <alignment horizontal="center" vertical="center"/>
    </xf>
    <xf numFmtId="14" fontId="0" fillId="0" borderId="1" xfId="0" applyNumberFormat="1" applyBorder="1" applyAlignment="1">
      <alignment horizontal="left"/>
    </xf>
    <xf numFmtId="0" fontId="16" fillId="10" borderId="132" xfId="3" applyFill="1" applyBorder="1" applyAlignment="1">
      <alignment horizontal="center" vertical="center"/>
    </xf>
    <xf numFmtId="0" fontId="16" fillId="10" borderId="133" xfId="3" applyFill="1" applyBorder="1" applyAlignment="1">
      <alignment horizontal="center" vertical="center"/>
    </xf>
    <xf numFmtId="0" fontId="16" fillId="10" borderId="134" xfId="3" applyFill="1" applyBorder="1" applyAlignment="1">
      <alignment horizontal="center" vertical="center"/>
    </xf>
    <xf numFmtId="0" fontId="16" fillId="10" borderId="135" xfId="3" applyFill="1" applyBorder="1" applyAlignment="1">
      <alignment horizontal="center" vertical="center"/>
    </xf>
    <xf numFmtId="0" fontId="16" fillId="10" borderId="129" xfId="3" applyFill="1" applyBorder="1" applyAlignment="1">
      <alignment horizontal="center" vertical="center"/>
    </xf>
    <xf numFmtId="0" fontId="16" fillId="10" borderId="131" xfId="3" applyFill="1" applyBorder="1" applyAlignment="1">
      <alignment horizontal="center" vertical="center"/>
    </xf>
    <xf numFmtId="0" fontId="16" fillId="10" borderId="165" xfId="3" applyFill="1" applyBorder="1" applyAlignment="1">
      <alignment horizontal="center" vertical="center"/>
    </xf>
    <xf numFmtId="0" fontId="16" fillId="10" borderId="166" xfId="3" applyFill="1" applyBorder="1" applyAlignment="1">
      <alignment horizontal="center" vertical="center"/>
    </xf>
    <xf numFmtId="0" fontId="16" fillId="10" borderId="71" xfId="3" applyFill="1" applyBorder="1" applyAlignment="1">
      <alignment horizontal="center" vertical="center"/>
    </xf>
    <xf numFmtId="0" fontId="16" fillId="10" borderId="161" xfId="3" applyFill="1" applyBorder="1" applyAlignment="1">
      <alignment horizontal="center" vertical="center" wrapText="1"/>
    </xf>
    <xf numFmtId="0" fontId="16" fillId="10" borderId="162" xfId="3" applyFill="1" applyBorder="1" applyAlignment="1">
      <alignment horizontal="center" vertical="center" wrapText="1"/>
    </xf>
    <xf numFmtId="0" fontId="16" fillId="10" borderId="163" xfId="3" applyFill="1" applyBorder="1" applyAlignment="1">
      <alignment horizontal="center" vertical="center" wrapText="1"/>
    </xf>
    <xf numFmtId="0" fontId="16" fillId="0" borderId="71" xfId="3" applyBorder="1" applyAlignment="1">
      <alignment horizontal="center" vertical="center"/>
    </xf>
    <xf numFmtId="0" fontId="16" fillId="0" borderId="99" xfId="3" applyBorder="1" applyAlignment="1">
      <alignment horizontal="center" vertical="center"/>
    </xf>
    <xf numFmtId="0" fontId="16" fillId="9" borderId="99" xfId="3" applyFill="1" applyBorder="1" applyAlignment="1">
      <alignment horizontal="center" vertical="center"/>
    </xf>
    <xf numFmtId="0" fontId="16" fillId="9" borderId="2" xfId="3" applyFill="1" applyBorder="1" applyAlignment="1">
      <alignment horizontal="center" vertical="center"/>
    </xf>
    <xf numFmtId="0" fontId="16" fillId="9" borderId="128" xfId="3" applyFill="1" applyBorder="1" applyAlignment="1">
      <alignment horizontal="center" vertical="center"/>
    </xf>
    <xf numFmtId="0" fontId="31" fillId="0" borderId="2" xfId="3" applyFont="1" applyBorder="1" applyAlignment="1">
      <alignment horizontal="center" vertical="center"/>
    </xf>
  </cellXfs>
  <cellStyles count="4">
    <cellStyle name="桁区切り" xfId="1" builtinId="6"/>
    <cellStyle name="桁区切り 2" xfId="2" xr:uid="{00000000-0005-0000-0000-000001000000}"/>
    <cellStyle name="標準" xfId="0" builtinId="0"/>
    <cellStyle name="標準 2" xfId="3" xr:uid="{00000000-0005-0000-0000-00000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Drop" dropLines="7" dropStyle="combo" dx="16" fmlaLink="$AH$5" fmlaRange="$AJ$9:$AJ$14" noThreeD="1" sel="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6" dropStyle="combo" dx="16" fmlaLink="$O$2" fmlaRange="$R$3:$R$8" noThreeD="1" sel="2" val="0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List" dx="16" fmlaLink="$K$1" fmlaRange="$L$2:$L$5" noThreeD="1" sel="1" val="0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10</xdr:row>
          <xdr:rowOff>161925</xdr:rowOff>
        </xdr:from>
        <xdr:to>
          <xdr:col>9</xdr:col>
          <xdr:colOff>304800</xdr:colOff>
          <xdr:row>12</xdr:row>
          <xdr:rowOff>38100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142875</xdr:colOff>
          <xdr:row>14</xdr:row>
          <xdr:rowOff>9525</xdr:rowOff>
        </xdr:from>
        <xdr:to>
          <xdr:col>10</xdr:col>
          <xdr:colOff>66675</xdr:colOff>
          <xdr:row>16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14</xdr:row>
          <xdr:rowOff>9525</xdr:rowOff>
        </xdr:from>
        <xdr:to>
          <xdr:col>8</xdr:col>
          <xdr:colOff>9525</xdr:colOff>
          <xdr:row>16</xdr:row>
          <xdr:rowOff>9525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800080"/>
                  </a:solidFill>
                  <a:latin typeface="ＭＳ Ｐ明朝"/>
                  <a:ea typeface="ＭＳ Ｐ明朝"/>
                </a:rPr>
                <a:t>部署登録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2</xdr:col>
          <xdr:colOff>57150</xdr:colOff>
          <xdr:row>1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メニューへ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276225</xdr:colOff>
          <xdr:row>0</xdr:row>
          <xdr:rowOff>0</xdr:rowOff>
        </xdr:from>
        <xdr:to>
          <xdr:col>3</xdr:col>
          <xdr:colOff>876300</xdr:colOff>
          <xdr:row>1</xdr:row>
          <xdr:rowOff>57150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800080"/>
                  </a:solidFill>
                  <a:latin typeface="ＭＳ Ｐ明朝"/>
                  <a:ea typeface="ＭＳ Ｐ明朝"/>
                </a:rPr>
                <a:t>A4印刷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923925</xdr:colOff>
          <xdr:row>0</xdr:row>
          <xdr:rowOff>0</xdr:rowOff>
        </xdr:from>
        <xdr:to>
          <xdr:col>7</xdr:col>
          <xdr:colOff>581025</xdr:colOff>
          <xdr:row>1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800000"/>
                  </a:solidFill>
                  <a:latin typeface="ＭＳ Ｐ明朝"/>
                  <a:ea typeface="ＭＳ Ｐ明朝"/>
                </a:rPr>
                <a:t>マスター登録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228600</xdr:colOff>
          <xdr:row>0</xdr:row>
          <xdr:rowOff>0</xdr:rowOff>
        </xdr:from>
        <xdr:to>
          <xdr:col>6</xdr:col>
          <xdr:colOff>838200</xdr:colOff>
          <xdr:row>1</xdr:row>
          <xdr:rowOff>57150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FF"/>
                  </a:solidFill>
                  <a:latin typeface="ＭＳ Ｐ明朝"/>
                  <a:ea typeface="ＭＳ Ｐ明朝"/>
                </a:rPr>
                <a:t>年齢付印刷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0</xdr:rowOff>
        </xdr:from>
        <xdr:to>
          <xdr:col>3</xdr:col>
          <xdr:colOff>209550</xdr:colOff>
          <xdr:row>1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339966"/>
                  </a:solidFill>
                  <a:latin typeface="ＭＳ Ｐ明朝"/>
                  <a:ea typeface="ＭＳ Ｐ明朝"/>
                </a:rPr>
                <a:t>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9525</xdr:colOff>
          <xdr:row>0</xdr:row>
          <xdr:rowOff>0</xdr:rowOff>
        </xdr:from>
        <xdr:to>
          <xdr:col>10</xdr:col>
          <xdr:colOff>57150</xdr:colOff>
          <xdr:row>1</xdr:row>
          <xdr:rowOff>57150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ＭＳ Ｐ明朝"/>
                  <a:ea typeface="ＭＳ Ｐ明朝"/>
                </a:rPr>
                <a:t>終了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962025</xdr:colOff>
          <xdr:row>0</xdr:row>
          <xdr:rowOff>0</xdr:rowOff>
        </xdr:from>
        <xdr:to>
          <xdr:col>6</xdr:col>
          <xdr:colOff>123825</xdr:colOff>
          <xdr:row>1</xdr:row>
          <xdr:rowOff>57150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800080"/>
                  </a:solidFill>
                  <a:latin typeface="ＭＳ Ｐ明朝"/>
                  <a:ea typeface="ＭＳ Ｐ明朝"/>
                </a:rPr>
                <a:t>B4印刷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9525</xdr:rowOff>
        </xdr:from>
        <xdr:to>
          <xdr:col>3</xdr:col>
          <xdr:colOff>0</xdr:colOff>
          <xdr:row>1</xdr:row>
          <xdr:rowOff>9525</xdr:rowOff>
        </xdr:to>
        <xdr:sp macro="" textlink="">
          <xdr:nvSpPr>
            <xdr:cNvPr id="10241" name="Drop Dow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9525</xdr:rowOff>
        </xdr:from>
        <xdr:to>
          <xdr:col>6</xdr:col>
          <xdr:colOff>161925</xdr:colOff>
          <xdr:row>1</xdr:row>
          <xdr:rowOff>47625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339966"/>
                  </a:solidFill>
                  <a:latin typeface="ＭＳ Ｐゴシック"/>
                  <a:ea typeface="ＭＳ Ｐゴシック"/>
                </a:rPr>
                <a:t>マスタ読込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514350</xdr:colOff>
          <xdr:row>0</xdr:row>
          <xdr:rowOff>9525</xdr:rowOff>
        </xdr:from>
        <xdr:to>
          <xdr:col>7</xdr:col>
          <xdr:colOff>685800</xdr:colOff>
          <xdr:row>1</xdr:row>
          <xdr:rowOff>47625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FF00FF"/>
                  </a:solidFill>
                  <a:latin typeface="ＭＳ Ｐゴシック"/>
                  <a:ea typeface="ＭＳ Ｐゴシック"/>
                </a:rPr>
                <a:t>マスタ登録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133350</xdr:colOff>
          <xdr:row>0</xdr:row>
          <xdr:rowOff>0</xdr:rowOff>
        </xdr:from>
        <xdr:to>
          <xdr:col>12</xdr:col>
          <xdr:colOff>942975</xdr:colOff>
          <xdr:row>1</xdr:row>
          <xdr:rowOff>38100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993300"/>
                  </a:solidFill>
                  <a:latin typeface="ＭＳ Ｐゴシック"/>
                  <a:ea typeface="ＭＳ Ｐゴシック"/>
                </a:rPr>
                <a:t>戻る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666750</xdr:colOff>
          <xdr:row>0</xdr:row>
          <xdr:rowOff>161925</xdr:rowOff>
        </xdr:from>
        <xdr:to>
          <xdr:col>7</xdr:col>
          <xdr:colOff>85725</xdr:colOff>
          <xdr:row>0</xdr:row>
          <xdr:rowOff>476250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419100</xdr:colOff>
          <xdr:row>0</xdr:row>
          <xdr:rowOff>95250</xdr:rowOff>
        </xdr:from>
        <xdr:to>
          <xdr:col>1</xdr:col>
          <xdr:colOff>552450</xdr:colOff>
          <xdr:row>0</xdr:row>
          <xdr:rowOff>657225</xdr:rowOff>
        </xdr:to>
        <xdr:sp macro="" textlink="">
          <xdr:nvSpPr>
            <xdr:cNvPr id="11266" name="List Box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152400</xdr:rowOff>
        </xdr:from>
        <xdr:to>
          <xdr:col>9</xdr:col>
          <xdr:colOff>152400</xdr:colOff>
          <xdr:row>0</xdr:row>
          <xdr:rowOff>438150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png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 tint="-0.499984740745262"/>
    <pageSetUpPr fitToPage="1"/>
  </sheetPr>
  <dimension ref="C1:AP24"/>
  <sheetViews>
    <sheetView showGridLines="0" showRowColHeaders="0" showZeros="0" tabSelected="1" showOutlineSymbols="0" workbookViewId="0"/>
  </sheetViews>
  <sheetFormatPr defaultRowHeight="13.5" x14ac:dyDescent="0.15"/>
  <cols>
    <col min="27" max="27" width="10.625" customWidth="1"/>
    <col min="36" max="36" width="24.875" bestFit="1" customWidth="1"/>
  </cols>
  <sheetData>
    <row r="1" spans="3:42" x14ac:dyDescent="0.15">
      <c r="AA1" s="100"/>
      <c r="AB1" s="101"/>
      <c r="AC1" s="101"/>
      <c r="AD1" s="101"/>
      <c r="AE1" s="102"/>
    </row>
    <row r="2" spans="3:42" x14ac:dyDescent="0.15">
      <c r="AA2" s="103"/>
      <c r="AB2" s="104"/>
      <c r="AC2" s="104"/>
      <c r="AD2" s="104"/>
      <c r="AE2" s="105"/>
    </row>
    <row r="3" spans="3:42" x14ac:dyDescent="0.15">
      <c r="AA3" s="103"/>
      <c r="AB3" s="104"/>
      <c r="AC3" s="104"/>
      <c r="AD3" s="104"/>
      <c r="AE3" s="105"/>
    </row>
    <row r="4" spans="3:42" ht="14.25" thickBot="1" x14ac:dyDescent="0.2">
      <c r="D4" s="119"/>
      <c r="E4" s="119"/>
      <c r="F4" s="118"/>
      <c r="G4" s="118"/>
      <c r="H4" s="118"/>
      <c r="I4" s="118"/>
      <c r="J4" s="118"/>
      <c r="K4" s="118"/>
      <c r="AA4" s="103"/>
      <c r="AB4" s="104"/>
      <c r="AC4" s="104"/>
      <c r="AD4" s="104"/>
      <c r="AE4" s="105"/>
    </row>
    <row r="5" spans="3:42" ht="14.25" thickBot="1" x14ac:dyDescent="0.2">
      <c r="D5" s="119"/>
      <c r="E5" s="119"/>
      <c r="F5" s="118"/>
      <c r="G5" s="118"/>
      <c r="H5" s="118"/>
      <c r="I5" s="118"/>
      <c r="J5" s="118"/>
      <c r="K5" s="118"/>
      <c r="AA5" s="103" t="s">
        <v>22</v>
      </c>
      <c r="AB5" s="106"/>
      <c r="AC5" s="107"/>
      <c r="AD5" s="108"/>
      <c r="AE5" s="105"/>
      <c r="AF5" t="s">
        <v>49</v>
      </c>
      <c r="AG5" s="76" t="s">
        <v>50</v>
      </c>
      <c r="AH5" s="79">
        <v>0</v>
      </c>
      <c r="AI5" s="150" t="str">
        <f>IF(AH5=0,"",VLOOKUP(AH5,AH9:AJ15,2))</f>
        <v/>
      </c>
      <c r="AJ5" s="80" t="str">
        <f>IF(AH5=0,"",VLOOKUP(AH5,AH9:AJ15,3))</f>
        <v/>
      </c>
      <c r="AM5" s="89"/>
      <c r="AN5" s="89"/>
      <c r="AO5" s="89"/>
      <c r="AP5" s="89"/>
    </row>
    <row r="6" spans="3:42" ht="14.25" customHeight="1" thickTop="1" thickBot="1" x14ac:dyDescent="0.2">
      <c r="C6" s="393" t="s">
        <v>48</v>
      </c>
      <c r="D6" s="394"/>
      <c r="E6" s="394"/>
      <c r="F6" s="394"/>
      <c r="G6" s="394"/>
      <c r="H6" s="394"/>
      <c r="I6" s="394"/>
      <c r="J6" s="394"/>
      <c r="K6" s="395"/>
      <c r="AA6" s="103"/>
      <c r="AB6" s="104"/>
      <c r="AC6" s="104"/>
      <c r="AD6" s="104"/>
      <c r="AE6" s="105"/>
      <c r="AG6" s="77" t="s">
        <v>46</v>
      </c>
      <c r="AH6" s="81">
        <v>0</v>
      </c>
      <c r="AI6" s="151"/>
      <c r="AJ6" s="82" t="str">
        <f>IF(AH6=0,"",VLOOKUP(AH6,AH9:AJ15,2))</f>
        <v/>
      </c>
      <c r="AM6" s="89"/>
      <c r="AN6" s="89"/>
    </row>
    <row r="7" spans="3:42" ht="13.5" customHeight="1" thickBot="1" x14ac:dyDescent="0.2">
      <c r="C7" s="396"/>
      <c r="D7" s="397"/>
      <c r="E7" s="397"/>
      <c r="F7" s="397"/>
      <c r="G7" s="397"/>
      <c r="H7" s="397"/>
      <c r="I7" s="397"/>
      <c r="J7" s="397"/>
      <c r="K7" s="398"/>
      <c r="AA7" s="103"/>
      <c r="AB7" s="45">
        <v>1</v>
      </c>
      <c r="AC7" s="109" t="s">
        <v>25</v>
      </c>
      <c r="AD7" s="110" t="s">
        <v>26</v>
      </c>
      <c r="AE7" s="105"/>
      <c r="AG7" s="78" t="s">
        <v>51</v>
      </c>
      <c r="AH7" s="83">
        <v>0</v>
      </c>
      <c r="AI7" s="152"/>
      <c r="AJ7" s="84" t="str">
        <f>IF(AH7=0,"",VLOOKUP(AH7,AH9:AJ16,2))</f>
        <v/>
      </c>
    </row>
    <row r="8" spans="3:42" ht="13.5" customHeight="1" thickBot="1" x14ac:dyDescent="0.2">
      <c r="C8" s="399"/>
      <c r="D8" s="400"/>
      <c r="E8" s="400"/>
      <c r="F8" s="400"/>
      <c r="G8" s="400"/>
      <c r="H8" s="400"/>
      <c r="I8" s="400"/>
      <c r="J8" s="400"/>
      <c r="K8" s="401"/>
      <c r="AA8" s="103"/>
      <c r="AB8" s="46">
        <v>2</v>
      </c>
      <c r="AC8" s="111" t="s">
        <v>27</v>
      </c>
      <c r="AD8" s="112" t="s">
        <v>28</v>
      </c>
      <c r="AE8" s="105"/>
    </row>
    <row r="9" spans="3:42" ht="14.25" thickTop="1" x14ac:dyDescent="0.15">
      <c r="AA9" s="103"/>
      <c r="AB9" s="46">
        <v>3</v>
      </c>
      <c r="AC9" s="111" t="s">
        <v>29</v>
      </c>
      <c r="AD9" s="112" t="s">
        <v>30</v>
      </c>
      <c r="AE9" s="105"/>
      <c r="AG9" s="45"/>
      <c r="AH9" s="87">
        <v>1</v>
      </c>
      <c r="AI9" s="153" t="s">
        <v>160</v>
      </c>
      <c r="AJ9" s="85" t="s">
        <v>165</v>
      </c>
    </row>
    <row r="10" spans="3:42" x14ac:dyDescent="0.15">
      <c r="AA10" s="103"/>
      <c r="AB10" s="46">
        <v>4</v>
      </c>
      <c r="AC10" s="111" t="s">
        <v>1</v>
      </c>
      <c r="AD10" s="112" t="s">
        <v>31</v>
      </c>
      <c r="AE10" s="105"/>
      <c r="AG10" s="46"/>
      <c r="AH10" s="88">
        <v>2</v>
      </c>
      <c r="AI10" s="154" t="s">
        <v>161</v>
      </c>
      <c r="AJ10" s="86" t="s">
        <v>166</v>
      </c>
    </row>
    <row r="11" spans="3:42" x14ac:dyDescent="0.15">
      <c r="AA11" s="103"/>
      <c r="AB11" s="46">
        <v>5</v>
      </c>
      <c r="AC11" s="111" t="s">
        <v>36</v>
      </c>
      <c r="AD11" s="112" t="s">
        <v>32</v>
      </c>
      <c r="AE11" s="105"/>
      <c r="AG11" s="46"/>
      <c r="AH11" s="88">
        <v>3</v>
      </c>
      <c r="AI11" s="154" t="s">
        <v>162</v>
      </c>
      <c r="AJ11" s="86" t="s">
        <v>167</v>
      </c>
    </row>
    <row r="12" spans="3:42" ht="14.25" x14ac:dyDescent="0.15">
      <c r="E12" s="120" t="s">
        <v>47</v>
      </c>
      <c r="AA12" s="103"/>
      <c r="AB12" s="46">
        <v>6</v>
      </c>
      <c r="AC12" s="111" t="s">
        <v>37</v>
      </c>
      <c r="AD12" s="112" t="s">
        <v>33</v>
      </c>
      <c r="AE12" s="105"/>
      <c r="AG12" s="46"/>
      <c r="AH12" s="88">
        <v>4</v>
      </c>
      <c r="AI12" s="154" t="s">
        <v>163</v>
      </c>
      <c r="AJ12" s="86" t="s">
        <v>43</v>
      </c>
    </row>
    <row r="13" spans="3:42" x14ac:dyDescent="0.15">
      <c r="AA13" s="103"/>
      <c r="AB13" s="46">
        <v>7</v>
      </c>
      <c r="AC13" s="111" t="s">
        <v>39</v>
      </c>
      <c r="AD13" s="112" t="s">
        <v>2</v>
      </c>
      <c r="AE13" s="105"/>
      <c r="AG13" s="46"/>
      <c r="AH13" s="88">
        <v>5</v>
      </c>
      <c r="AI13" s="154" t="s">
        <v>164</v>
      </c>
      <c r="AJ13" s="86" t="s">
        <v>44</v>
      </c>
    </row>
    <row r="14" spans="3:42" x14ac:dyDescent="0.15">
      <c r="AA14" s="103"/>
      <c r="AB14" s="46">
        <v>8</v>
      </c>
      <c r="AC14" s="111" t="s">
        <v>38</v>
      </c>
      <c r="AD14" s="112" t="s">
        <v>34</v>
      </c>
      <c r="AE14" s="105"/>
      <c r="AG14" s="46"/>
      <c r="AH14" s="88">
        <v>6</v>
      </c>
      <c r="AI14" s="154" t="s">
        <v>393</v>
      </c>
      <c r="AJ14" s="86" t="s">
        <v>394</v>
      </c>
    </row>
    <row r="15" spans="3:42" ht="14.25" thickBot="1" x14ac:dyDescent="0.2">
      <c r="AA15" s="103"/>
      <c r="AB15" s="113">
        <v>9</v>
      </c>
      <c r="AC15" s="47" t="s">
        <v>40</v>
      </c>
      <c r="AD15" s="114" t="s">
        <v>35</v>
      </c>
      <c r="AE15" s="105"/>
      <c r="AG15" s="46"/>
      <c r="AH15" s="88"/>
      <c r="AI15" s="154"/>
      <c r="AJ15" s="86"/>
    </row>
    <row r="16" spans="3:42" ht="14.25" thickBot="1" x14ac:dyDescent="0.2">
      <c r="AA16" s="103"/>
      <c r="AB16" s="104"/>
      <c r="AC16" s="104"/>
      <c r="AD16" s="104"/>
      <c r="AE16" s="105"/>
      <c r="AG16" s="113"/>
      <c r="AH16" s="155"/>
      <c r="AI16" s="156"/>
      <c r="AJ16" s="157"/>
    </row>
    <row r="17" spans="5:31" x14ac:dyDescent="0.15">
      <c r="AA17" s="103"/>
      <c r="AB17" s="104"/>
      <c r="AC17" s="104"/>
      <c r="AD17" s="104"/>
      <c r="AE17" s="105"/>
    </row>
    <row r="18" spans="5:31" x14ac:dyDescent="0.15">
      <c r="AA18" s="103"/>
      <c r="AB18" s="104"/>
      <c r="AC18" s="104"/>
      <c r="AD18" s="104"/>
      <c r="AE18" s="105"/>
    </row>
    <row r="19" spans="5:31" ht="14.25" thickBot="1" x14ac:dyDescent="0.2">
      <c r="AA19" s="115"/>
      <c r="AB19" s="116"/>
      <c r="AC19" s="116"/>
      <c r="AD19" s="116"/>
      <c r="AE19" s="117"/>
    </row>
    <row r="24" spans="5:31" ht="14.25" x14ac:dyDescent="0.15">
      <c r="E24" s="121"/>
    </row>
  </sheetData>
  <mergeCells count="1">
    <mergeCell ref="C6:K8"/>
  </mergeCells>
  <phoneticPr fontId="3"/>
  <pageMargins left="0.78740157480314965" right="0.78740157480314965" top="0.98425196850393704" bottom="0.98425196850393704" header="0.51181102362204722" footer="0.51181102362204722"/>
  <pageSetup paperSize="9" scale="38" orientation="landscape" horizontalDpi="300" verticalDpi="300" r:id="rId1"/>
  <headerFooter alignWithMargins="0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Drop Down 2">
              <controlPr defaultSize="0" autoLine="0" autoPict="0" macro="[0]!Select_STN">
                <anchor moveWithCells="1">
                  <from>
                    <xdr:col>7</xdr:col>
                    <xdr:colOff>0</xdr:colOff>
                    <xdr:row>10</xdr:row>
                    <xdr:rowOff>161925</xdr:rowOff>
                  </from>
                  <to>
                    <xdr:col>9</xdr:col>
                    <xdr:colOff>304800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AP_END">
                <anchor moveWithCells="1" sizeWithCells="1">
                  <from>
                    <xdr:col>8</xdr:col>
                    <xdr:colOff>142875</xdr:colOff>
                    <xdr:row>14</xdr:row>
                    <xdr:rowOff>9525</xdr:rowOff>
                  </from>
                  <to>
                    <xdr:col>10</xdr:col>
                    <xdr:colOff>66675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Move_Masta">
                <anchor moveWithCells="1" sizeWithCells="1">
                  <from>
                    <xdr:col>6</xdr:col>
                    <xdr:colOff>85725</xdr:colOff>
                    <xdr:row>14</xdr:row>
                    <xdr:rowOff>9525</xdr:rowOff>
                  </from>
                  <to>
                    <xdr:col>8</xdr:col>
                    <xdr:colOff>9525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B0F0"/>
  </sheetPr>
  <dimension ref="A2:AP115"/>
  <sheetViews>
    <sheetView showGridLines="0" showRowColHeaders="0" showZeros="0" showRuler="0" showOutlineSymbols="0" zoomScaleNormal="100" workbookViewId="0">
      <selection activeCell="H38" sqref="H38"/>
    </sheetView>
  </sheetViews>
  <sheetFormatPr defaultRowHeight="13.5" x14ac:dyDescent="0.15"/>
  <cols>
    <col min="1" max="1" width="2.625" customWidth="1"/>
    <col min="2" max="2" width="4.625" customWidth="1"/>
    <col min="3" max="3" width="6.625" customWidth="1"/>
    <col min="4" max="4" width="13.625" customWidth="1"/>
    <col min="5" max="6" width="2.625" customWidth="1"/>
    <col min="7" max="8" width="16.625" customWidth="1"/>
    <col min="9" max="10" width="2.625" customWidth="1"/>
    <col min="11" max="11" width="3.625" customWidth="1"/>
    <col min="12" max="12" width="4.625" customWidth="1"/>
    <col min="13" max="13" width="3.625" customWidth="1"/>
    <col min="14" max="14" width="8.625" customWidth="1"/>
    <col min="15" max="21" width="10.625" customWidth="1"/>
    <col min="22" max="28" width="9.625" customWidth="1"/>
    <col min="29" max="30" width="10.625" bestFit="1" customWidth="1"/>
    <col min="31" max="31" width="9.625" customWidth="1"/>
    <col min="32" max="32" width="16.625" customWidth="1"/>
    <col min="33" max="33" width="6.625" customWidth="1"/>
    <col min="34" max="34" width="12.625" customWidth="1"/>
    <col min="35" max="35" width="9.625" customWidth="1"/>
    <col min="36" max="36" width="16.625" customWidth="1"/>
    <col min="37" max="37" width="6.625" customWidth="1"/>
    <col min="38" max="38" width="12.625" customWidth="1"/>
    <col min="39" max="39" width="9.625" customWidth="1"/>
    <col min="40" max="40" width="16.625" customWidth="1"/>
    <col min="41" max="41" width="6.625" customWidth="1"/>
    <col min="42" max="42" width="12.625" customWidth="1"/>
  </cols>
  <sheetData>
    <row r="2" spans="1:42" ht="14.25" thickBot="1" x14ac:dyDescent="0.2"/>
    <row r="3" spans="1:42" ht="14.25" customHeight="1" thickTop="1" thickBot="1" x14ac:dyDescent="0.2">
      <c r="B3" s="406" t="str">
        <f>Menu!AJ5</f>
        <v/>
      </c>
      <c r="C3" s="407"/>
      <c r="D3" s="407"/>
      <c r="E3" s="407"/>
      <c r="F3" s="408"/>
      <c r="G3" s="118"/>
      <c r="H3" s="413" t="s">
        <v>24</v>
      </c>
      <c r="I3" s="413"/>
      <c r="J3" s="413"/>
      <c r="K3" s="413"/>
      <c r="L3" s="413"/>
      <c r="M3" s="413"/>
      <c r="N3" s="413"/>
      <c r="O3" s="413"/>
      <c r="P3" s="413"/>
      <c r="Q3" s="413"/>
      <c r="R3" s="413"/>
    </row>
    <row r="4" spans="1:42" ht="15" thickBot="1" x14ac:dyDescent="0.2">
      <c r="B4" s="409"/>
      <c r="C4" s="410"/>
      <c r="D4" s="410"/>
      <c r="E4" s="410"/>
      <c r="F4" s="411"/>
      <c r="G4" s="118"/>
      <c r="H4" s="414"/>
      <c r="I4" s="414"/>
      <c r="J4" s="414"/>
      <c r="K4" s="414"/>
      <c r="L4" s="414"/>
      <c r="M4" s="414"/>
      <c r="N4" s="414"/>
      <c r="O4" s="414"/>
      <c r="P4" s="414"/>
      <c r="Q4" s="414"/>
      <c r="R4" s="414"/>
      <c r="U4" s="412">
        <f ca="1">NOW()</f>
        <v>44741.430119444442</v>
      </c>
      <c r="V4" s="412"/>
      <c r="W4" s="405" t="s">
        <v>41</v>
      </c>
      <c r="X4" s="405"/>
      <c r="AE4" s="427" t="s">
        <v>220</v>
      </c>
      <c r="AF4" s="402"/>
      <c r="AG4" s="402"/>
      <c r="AH4" s="428"/>
      <c r="AI4" s="402" t="s">
        <v>221</v>
      </c>
      <c r="AJ4" s="402"/>
      <c r="AK4" s="402"/>
      <c r="AL4" s="402"/>
      <c r="AM4" s="403" t="s">
        <v>222</v>
      </c>
      <c r="AN4" s="402"/>
      <c r="AO4" s="402"/>
      <c r="AP4" s="404"/>
    </row>
    <row r="5" spans="1:42" ht="36" thickBot="1" x14ac:dyDescent="0.2">
      <c r="B5" s="125" t="s">
        <v>13</v>
      </c>
      <c r="C5" s="126" t="s">
        <v>395</v>
      </c>
      <c r="D5" s="127" t="s">
        <v>219</v>
      </c>
      <c r="E5" s="415" t="s">
        <v>16</v>
      </c>
      <c r="F5" s="416"/>
      <c r="G5" s="128" t="s">
        <v>17</v>
      </c>
      <c r="H5" s="128" t="s">
        <v>18</v>
      </c>
      <c r="I5" s="129" t="s">
        <v>19</v>
      </c>
      <c r="J5" s="415" t="s">
        <v>20</v>
      </c>
      <c r="K5" s="416"/>
      <c r="L5" s="128" t="s">
        <v>21</v>
      </c>
      <c r="M5" s="415" t="s">
        <v>22</v>
      </c>
      <c r="N5" s="416"/>
      <c r="O5" s="130" t="s">
        <v>3</v>
      </c>
      <c r="P5" s="123" t="s">
        <v>4</v>
      </c>
      <c r="Q5" s="122" t="s">
        <v>7</v>
      </c>
      <c r="R5" s="123" t="s">
        <v>5</v>
      </c>
      <c r="S5" s="122" t="s">
        <v>8</v>
      </c>
      <c r="T5" s="122" t="s">
        <v>231</v>
      </c>
      <c r="U5" s="122" t="s">
        <v>230</v>
      </c>
      <c r="V5" s="148" t="s">
        <v>10</v>
      </c>
      <c r="W5" s="122" t="s">
        <v>12</v>
      </c>
      <c r="X5" s="124" t="s">
        <v>11</v>
      </c>
      <c r="Y5" s="44" t="s">
        <v>23</v>
      </c>
      <c r="AA5" s="90" t="s">
        <v>52</v>
      </c>
      <c r="AC5" s="97" t="s">
        <v>53</v>
      </c>
      <c r="AD5" s="97" t="s">
        <v>232</v>
      </c>
      <c r="AE5" s="208" t="s">
        <v>219</v>
      </c>
      <c r="AF5" s="209" t="s">
        <v>17</v>
      </c>
      <c r="AG5" s="209" t="s">
        <v>53</v>
      </c>
      <c r="AH5" s="210" t="s">
        <v>170</v>
      </c>
      <c r="AI5" s="211" t="s">
        <v>219</v>
      </c>
      <c r="AJ5" s="209" t="s">
        <v>17</v>
      </c>
      <c r="AK5" s="209" t="s">
        <v>53</v>
      </c>
      <c r="AL5" s="212" t="s">
        <v>170</v>
      </c>
      <c r="AM5" s="213" t="s">
        <v>219</v>
      </c>
      <c r="AN5" s="209" t="s">
        <v>17</v>
      </c>
      <c r="AO5" s="209" t="s">
        <v>53</v>
      </c>
      <c r="AP5" s="214" t="s">
        <v>170</v>
      </c>
    </row>
    <row r="6" spans="1:42" ht="15" customHeight="1" thickTop="1" x14ac:dyDescent="0.15">
      <c r="A6" s="272"/>
      <c r="B6" s="273"/>
      <c r="C6" s="274"/>
      <c r="D6" s="275"/>
      <c r="E6" s="276"/>
      <c r="F6" s="277"/>
      <c r="G6" s="278"/>
      <c r="H6" s="278"/>
      <c r="I6" s="278"/>
      <c r="J6" s="276"/>
      <c r="K6" s="277"/>
      <c r="L6" s="278"/>
      <c r="M6" s="276"/>
      <c r="N6" s="277"/>
      <c r="O6" s="279"/>
      <c r="P6" s="280"/>
      <c r="Q6" s="280"/>
      <c r="R6" s="280"/>
      <c r="S6" s="280"/>
      <c r="T6" s="280"/>
      <c r="U6" s="280"/>
      <c r="V6" s="281"/>
      <c r="W6" s="280"/>
      <c r="X6" s="282"/>
      <c r="Y6" s="283"/>
      <c r="Z6" s="272"/>
      <c r="AA6" s="283"/>
      <c r="AB6" s="272"/>
      <c r="AC6" s="284"/>
      <c r="AD6" s="284"/>
      <c r="AE6" s="366"/>
      <c r="AF6" s="367"/>
      <c r="AG6" s="202"/>
      <c r="AH6" s="203"/>
      <c r="AI6" s="204"/>
      <c r="AJ6" s="202"/>
      <c r="AK6" s="202"/>
      <c r="AL6" s="205"/>
      <c r="AM6" s="206"/>
      <c r="AN6" s="202"/>
      <c r="AO6" s="202"/>
      <c r="AP6" s="207"/>
    </row>
    <row r="7" spans="1:42" ht="15" customHeight="1" x14ac:dyDescent="0.15">
      <c r="A7" s="272"/>
      <c r="B7" s="285" t="s">
        <v>343</v>
      </c>
      <c r="C7" s="286" t="s">
        <v>344</v>
      </c>
      <c r="D7" s="287" t="s">
        <v>396</v>
      </c>
      <c r="E7" s="288" t="s">
        <v>442</v>
      </c>
      <c r="F7" s="289" t="str">
        <f>IF(E7="M","男",IF(E7="F","女",IF(E7="","","？")))</f>
        <v>男</v>
      </c>
      <c r="G7" s="290">
        <v>25698</v>
      </c>
      <c r="H7" s="364">
        <v>38072</v>
      </c>
      <c r="I7" s="291" t="s">
        <v>0</v>
      </c>
      <c r="J7" s="288" t="s">
        <v>345</v>
      </c>
      <c r="K7" s="289" t="str">
        <f t="shared" ref="K7" si="0">IF(J7="6","Ⅵ",IF(J7="5","Ⅴ",IF(J7="4","Ⅳ",IF(J7="3","Ⅲ",IF(J7="2","Ⅱ",IF(J7="1","Ⅰ",IF(J7="","","？")))))))</f>
        <v>Ⅴ</v>
      </c>
      <c r="L7" s="291">
        <v>20</v>
      </c>
      <c r="M7" s="288" t="s">
        <v>445</v>
      </c>
      <c r="N7" s="292" t="str">
        <f>管理職区判定(I7,M7,O7,AA7)</f>
        <v>支店長</v>
      </c>
      <c r="O7" s="293">
        <v>342700</v>
      </c>
      <c r="P7" s="294">
        <v>51100</v>
      </c>
      <c r="Q7" s="294">
        <v>80000</v>
      </c>
      <c r="R7" s="294">
        <v>0</v>
      </c>
      <c r="S7" s="294">
        <v>15000</v>
      </c>
      <c r="T7" s="294">
        <v>0</v>
      </c>
      <c r="U7" s="294">
        <v>1500</v>
      </c>
      <c r="V7" s="295">
        <f t="shared" ref="V7:V51" si="1">SUM(O7:U7)</f>
        <v>490300</v>
      </c>
      <c r="W7" s="296">
        <v>200</v>
      </c>
      <c r="X7" s="297" t="s">
        <v>446</v>
      </c>
      <c r="Y7" s="298"/>
      <c r="Z7" s="272"/>
      <c r="AA7" s="299">
        <v>0</v>
      </c>
      <c r="AB7" s="272"/>
      <c r="AC7" s="300" t="str">
        <f t="shared" ref="AC7:AC53" ca="1" si="2">IF(G7="","",DATEDIF(G7,$U$4,"Y")&amp;"歳"&amp;DATEDIF(G7,$U$4,"YＭ")&amp;"ヶ月")</f>
        <v>52歳1ヶ月</v>
      </c>
      <c r="AD7" s="300" t="str">
        <f ca="1">IF(H7="","",DATEDIF(H7,$U$4,"Y")&amp;"年"&amp;DATEDIF(H7,$U$4,"YＭ")&amp;"ヶ月")</f>
        <v>18年3ヶ月</v>
      </c>
      <c r="AE7" s="368"/>
      <c r="AF7" s="369"/>
      <c r="AG7" s="190"/>
      <c r="AH7" s="194"/>
      <c r="AI7" s="192"/>
      <c r="AJ7" s="190"/>
      <c r="AK7" s="190"/>
      <c r="AL7" s="196"/>
      <c r="AM7" s="198"/>
      <c r="AN7" s="190"/>
      <c r="AO7" s="190"/>
      <c r="AP7" s="200"/>
    </row>
    <row r="8" spans="1:42" ht="15" customHeight="1" x14ac:dyDescent="0.15">
      <c r="A8" s="272"/>
      <c r="B8" s="285" t="s">
        <v>343</v>
      </c>
      <c r="C8" s="286" t="s">
        <v>348</v>
      </c>
      <c r="D8" s="287" t="s">
        <v>397</v>
      </c>
      <c r="E8" s="288" t="s">
        <v>442</v>
      </c>
      <c r="F8" s="289" t="str">
        <f t="shared" ref="F8:F53" si="3">IF(E8="M","男",IF(E8="F","女",IF(E8="","","？")))</f>
        <v>男</v>
      </c>
      <c r="G8" s="290">
        <v>25223</v>
      </c>
      <c r="H8" s="364">
        <v>37895</v>
      </c>
      <c r="I8" s="291" t="s">
        <v>0</v>
      </c>
      <c r="J8" s="288" t="s">
        <v>77</v>
      </c>
      <c r="K8" s="289" t="str">
        <f t="shared" ref="K8:K54" si="4">IF(J8="6","Ⅵ",IF(J8="5","Ⅴ",IF(J8="4","Ⅳ",IF(J8="3","Ⅲ",IF(J8="2","Ⅱ",IF(J8="1","Ⅰ",IF(J8="","","？")))))))</f>
        <v>Ⅳ</v>
      </c>
      <c r="L8" s="291">
        <v>39</v>
      </c>
      <c r="M8" s="288" t="s">
        <v>447</v>
      </c>
      <c r="N8" s="292" t="str">
        <f t="shared" ref="N8:N53" si="5">管理職区判定(I8,M8,O8,AA8)</f>
        <v>次長</v>
      </c>
      <c r="O8" s="293">
        <v>307420</v>
      </c>
      <c r="P8" s="294">
        <v>47380</v>
      </c>
      <c r="Q8" s="294">
        <v>40000</v>
      </c>
      <c r="R8" s="294">
        <v>26000</v>
      </c>
      <c r="S8" s="294">
        <v>15000</v>
      </c>
      <c r="T8" s="294">
        <v>10000</v>
      </c>
      <c r="U8" s="294">
        <v>1500</v>
      </c>
      <c r="V8" s="295">
        <f t="shared" si="1"/>
        <v>447300</v>
      </c>
      <c r="W8" s="296">
        <v>300</v>
      </c>
      <c r="X8" s="297" t="s">
        <v>446</v>
      </c>
      <c r="Y8" s="298"/>
      <c r="Z8" s="272"/>
      <c r="AA8" s="299">
        <v>0</v>
      </c>
      <c r="AB8" s="272"/>
      <c r="AC8" s="300" t="str">
        <f t="shared" ca="1" si="2"/>
        <v>53歳5ヶ月</v>
      </c>
      <c r="AD8" s="300" t="str">
        <f t="shared" ref="AD8:AD53" ca="1" si="6">IF(H8="","",DATEDIF(H8,$U$4,"Y")&amp;"年"&amp;DATEDIF(H8,$U$4,"YＭ")&amp;"ヶ月")</f>
        <v>18年8ヶ月</v>
      </c>
      <c r="AE8" s="368"/>
      <c r="AF8" s="369"/>
      <c r="AG8" s="190"/>
      <c r="AH8" s="194"/>
      <c r="AI8" s="192"/>
      <c r="AJ8" s="190"/>
      <c r="AK8" s="190"/>
      <c r="AL8" s="196"/>
      <c r="AM8" s="198"/>
      <c r="AN8" s="190"/>
      <c r="AO8" s="190"/>
      <c r="AP8" s="200"/>
    </row>
    <row r="9" spans="1:42" ht="15" customHeight="1" x14ac:dyDescent="0.15">
      <c r="A9" s="272"/>
      <c r="B9" s="285" t="s">
        <v>343</v>
      </c>
      <c r="C9" s="286" t="s">
        <v>346</v>
      </c>
      <c r="D9" s="287" t="s">
        <v>398</v>
      </c>
      <c r="E9" s="288" t="s">
        <v>442</v>
      </c>
      <c r="F9" s="289" t="str">
        <f t="shared" si="3"/>
        <v>男</v>
      </c>
      <c r="G9" s="290">
        <v>28097</v>
      </c>
      <c r="H9" s="364">
        <v>36255</v>
      </c>
      <c r="I9" s="291" t="s">
        <v>0</v>
      </c>
      <c r="J9" s="288" t="s">
        <v>77</v>
      </c>
      <c r="K9" s="289" t="str">
        <f t="shared" si="4"/>
        <v>Ⅳ</v>
      </c>
      <c r="L9" s="291">
        <v>38</v>
      </c>
      <c r="M9" s="288" t="s">
        <v>447</v>
      </c>
      <c r="N9" s="292" t="str">
        <f t="shared" si="5"/>
        <v>次長</v>
      </c>
      <c r="O9" s="293">
        <v>305180</v>
      </c>
      <c r="P9" s="294">
        <v>47120</v>
      </c>
      <c r="Q9" s="294">
        <v>40000</v>
      </c>
      <c r="R9" s="294">
        <v>30000</v>
      </c>
      <c r="S9" s="294">
        <v>15000</v>
      </c>
      <c r="T9" s="294">
        <v>0</v>
      </c>
      <c r="U9" s="294">
        <v>1500</v>
      </c>
      <c r="V9" s="295">
        <f t="shared" si="1"/>
        <v>438800</v>
      </c>
      <c r="W9" s="296">
        <v>300</v>
      </c>
      <c r="X9" s="297" t="s">
        <v>446</v>
      </c>
      <c r="Y9" s="298"/>
      <c r="Z9" s="272"/>
      <c r="AA9" s="299">
        <v>0</v>
      </c>
      <c r="AB9" s="272"/>
      <c r="AC9" s="300" t="str">
        <f t="shared" ca="1" si="2"/>
        <v>45歳6ヶ月</v>
      </c>
      <c r="AD9" s="300" t="str">
        <f t="shared" ca="1" si="6"/>
        <v>23年2ヶ月</v>
      </c>
      <c r="AE9" s="368"/>
      <c r="AF9" s="369"/>
      <c r="AG9" s="190"/>
      <c r="AH9" s="194"/>
      <c r="AI9" s="192"/>
      <c r="AJ9" s="190"/>
      <c r="AK9" s="190"/>
      <c r="AL9" s="196"/>
      <c r="AM9" s="198"/>
      <c r="AN9" s="190"/>
      <c r="AO9" s="190"/>
      <c r="AP9" s="200"/>
    </row>
    <row r="10" spans="1:42" ht="15" customHeight="1" x14ac:dyDescent="0.15">
      <c r="A10" s="272"/>
      <c r="B10" s="285" t="s">
        <v>343</v>
      </c>
      <c r="C10" s="286" t="s">
        <v>347</v>
      </c>
      <c r="D10" s="287" t="s">
        <v>399</v>
      </c>
      <c r="E10" s="288" t="s">
        <v>442</v>
      </c>
      <c r="F10" s="289" t="str">
        <f t="shared" si="3"/>
        <v>男</v>
      </c>
      <c r="G10" s="290">
        <v>29183</v>
      </c>
      <c r="H10" s="364">
        <v>37347</v>
      </c>
      <c r="I10" s="291" t="s">
        <v>0</v>
      </c>
      <c r="J10" s="288" t="s">
        <v>77</v>
      </c>
      <c r="K10" s="289" t="str">
        <f t="shared" si="4"/>
        <v>Ⅳ</v>
      </c>
      <c r="L10" s="291">
        <v>28</v>
      </c>
      <c r="M10" s="288" t="s">
        <v>322</v>
      </c>
      <c r="N10" s="292" t="str">
        <f t="shared" si="5"/>
        <v>課長</v>
      </c>
      <c r="O10" s="293">
        <v>282780</v>
      </c>
      <c r="P10" s="294">
        <v>44820</v>
      </c>
      <c r="Q10" s="294">
        <v>30000</v>
      </c>
      <c r="R10" s="294">
        <v>13000</v>
      </c>
      <c r="S10" s="294">
        <v>15000</v>
      </c>
      <c r="T10" s="294">
        <v>0</v>
      </c>
      <c r="U10" s="294">
        <v>1500</v>
      </c>
      <c r="V10" s="295">
        <f t="shared" si="1"/>
        <v>387100</v>
      </c>
      <c r="W10" s="296">
        <v>300</v>
      </c>
      <c r="X10" s="297" t="s">
        <v>446</v>
      </c>
      <c r="Y10" s="298"/>
      <c r="Z10" s="272"/>
      <c r="AA10" s="299">
        <v>0</v>
      </c>
      <c r="AB10" s="272"/>
      <c r="AC10" s="300" t="str">
        <f t="shared" ca="1" si="2"/>
        <v>42歳7ヶ月</v>
      </c>
      <c r="AD10" s="300" t="str">
        <f t="shared" ca="1" si="6"/>
        <v>20年2ヶ月</v>
      </c>
      <c r="AE10" s="368"/>
      <c r="AF10" s="369"/>
      <c r="AG10" s="190"/>
      <c r="AH10" s="194"/>
      <c r="AI10" s="192"/>
      <c r="AJ10" s="190"/>
      <c r="AK10" s="190"/>
      <c r="AL10" s="196"/>
      <c r="AM10" s="198"/>
      <c r="AN10" s="190"/>
      <c r="AO10" s="190"/>
      <c r="AP10" s="200"/>
    </row>
    <row r="11" spans="1:42" ht="15" customHeight="1" x14ac:dyDescent="0.15">
      <c r="A11" s="272"/>
      <c r="B11" s="285" t="s">
        <v>343</v>
      </c>
      <c r="C11" s="286" t="s">
        <v>349</v>
      </c>
      <c r="D11" s="287" t="s">
        <v>400</v>
      </c>
      <c r="E11" s="288" t="s">
        <v>442</v>
      </c>
      <c r="F11" s="289" t="str">
        <f t="shared" si="3"/>
        <v>男</v>
      </c>
      <c r="G11" s="290">
        <v>25855</v>
      </c>
      <c r="H11" s="364">
        <v>38457</v>
      </c>
      <c r="I11" s="291" t="s">
        <v>0</v>
      </c>
      <c r="J11" s="288" t="s">
        <v>77</v>
      </c>
      <c r="K11" s="289" t="str">
        <f t="shared" si="4"/>
        <v>Ⅳ</v>
      </c>
      <c r="L11" s="291">
        <v>27</v>
      </c>
      <c r="M11" s="288" t="s">
        <v>322</v>
      </c>
      <c r="N11" s="292" t="str">
        <f t="shared" si="5"/>
        <v>課長</v>
      </c>
      <c r="O11" s="293">
        <v>280540</v>
      </c>
      <c r="P11" s="294">
        <v>44560</v>
      </c>
      <c r="Q11" s="294">
        <v>30000</v>
      </c>
      <c r="R11" s="294">
        <v>0</v>
      </c>
      <c r="S11" s="294">
        <v>0</v>
      </c>
      <c r="T11" s="294">
        <v>0</v>
      </c>
      <c r="U11" s="294">
        <v>1500</v>
      </c>
      <c r="V11" s="295">
        <f t="shared" si="1"/>
        <v>356600</v>
      </c>
      <c r="W11" s="296">
        <v>300</v>
      </c>
      <c r="X11" s="297" t="s">
        <v>448</v>
      </c>
      <c r="Y11" s="298"/>
      <c r="Z11" s="272"/>
      <c r="AA11" s="299">
        <v>0</v>
      </c>
      <c r="AB11" s="272"/>
      <c r="AC11" s="300" t="str">
        <f t="shared" ca="1" si="2"/>
        <v>51歳8ヶ月</v>
      </c>
      <c r="AD11" s="300" t="str">
        <f t="shared" ca="1" si="6"/>
        <v>17年2ヶ月</v>
      </c>
      <c r="AE11" s="368"/>
      <c r="AF11" s="369"/>
      <c r="AG11" s="190"/>
      <c r="AH11" s="194"/>
      <c r="AI11" s="192"/>
      <c r="AJ11" s="190"/>
      <c r="AK11" s="190"/>
      <c r="AL11" s="196"/>
      <c r="AM11" s="198"/>
      <c r="AN11" s="190"/>
      <c r="AO11" s="190"/>
      <c r="AP11" s="200"/>
    </row>
    <row r="12" spans="1:42" ht="15" customHeight="1" x14ac:dyDescent="0.15">
      <c r="A12" s="272"/>
      <c r="B12" s="285" t="s">
        <v>343</v>
      </c>
      <c r="C12" s="286" t="s">
        <v>351</v>
      </c>
      <c r="D12" s="287" t="s">
        <v>401</v>
      </c>
      <c r="E12" s="288" t="s">
        <v>442</v>
      </c>
      <c r="F12" s="289" t="str">
        <f t="shared" si="3"/>
        <v>男</v>
      </c>
      <c r="G12" s="290">
        <v>30916</v>
      </c>
      <c r="H12" s="364">
        <v>39174</v>
      </c>
      <c r="I12" s="291" t="s">
        <v>0</v>
      </c>
      <c r="J12" s="288" t="s">
        <v>77</v>
      </c>
      <c r="K12" s="289" t="str">
        <f t="shared" si="4"/>
        <v>Ⅳ</v>
      </c>
      <c r="L12" s="291">
        <v>21</v>
      </c>
      <c r="M12" s="288" t="s">
        <v>322</v>
      </c>
      <c r="N12" s="292" t="str">
        <f t="shared" si="5"/>
        <v>課長</v>
      </c>
      <c r="O12" s="293">
        <v>267100</v>
      </c>
      <c r="P12" s="294">
        <v>43200</v>
      </c>
      <c r="Q12" s="294">
        <v>30000</v>
      </c>
      <c r="R12" s="294">
        <v>0</v>
      </c>
      <c r="S12" s="294">
        <v>7000</v>
      </c>
      <c r="T12" s="294">
        <v>10000</v>
      </c>
      <c r="U12" s="294">
        <v>1500</v>
      </c>
      <c r="V12" s="295">
        <f t="shared" si="1"/>
        <v>358800</v>
      </c>
      <c r="W12" s="296">
        <v>300</v>
      </c>
      <c r="X12" s="297" t="s">
        <v>449</v>
      </c>
      <c r="Y12" s="298"/>
      <c r="Z12" s="272"/>
      <c r="AA12" s="299">
        <v>0</v>
      </c>
      <c r="AB12" s="272"/>
      <c r="AC12" s="300" t="str">
        <f t="shared" ca="1" si="2"/>
        <v>37歳10ヶ月</v>
      </c>
      <c r="AD12" s="300" t="str">
        <f t="shared" ca="1" si="6"/>
        <v>15年2ヶ月</v>
      </c>
      <c r="AE12" s="368"/>
      <c r="AF12" s="369"/>
      <c r="AG12" s="190"/>
      <c r="AH12" s="194"/>
      <c r="AI12" s="192"/>
      <c r="AJ12" s="190"/>
      <c r="AK12" s="190"/>
      <c r="AL12" s="196"/>
      <c r="AM12" s="198"/>
      <c r="AN12" s="190"/>
      <c r="AO12" s="190"/>
      <c r="AP12" s="200"/>
    </row>
    <row r="13" spans="1:42" ht="15" customHeight="1" x14ac:dyDescent="0.15">
      <c r="A13" s="272"/>
      <c r="B13" s="285" t="s">
        <v>343</v>
      </c>
      <c r="C13" s="286" t="s">
        <v>355</v>
      </c>
      <c r="D13" s="287" t="s">
        <v>402</v>
      </c>
      <c r="E13" s="288" t="s">
        <v>442</v>
      </c>
      <c r="F13" s="289" t="str">
        <f t="shared" si="3"/>
        <v>男</v>
      </c>
      <c r="G13" s="290">
        <v>27821</v>
      </c>
      <c r="H13" s="364">
        <v>38880</v>
      </c>
      <c r="I13" s="291" t="s">
        <v>0</v>
      </c>
      <c r="J13" s="288" t="s">
        <v>98</v>
      </c>
      <c r="K13" s="289" t="str">
        <f t="shared" si="4"/>
        <v>Ⅲ</v>
      </c>
      <c r="L13" s="291">
        <v>51</v>
      </c>
      <c r="M13" s="288" t="s">
        <v>234</v>
      </c>
      <c r="N13" s="292" t="str">
        <f t="shared" si="5"/>
        <v>課長代理</v>
      </c>
      <c r="O13" s="293">
        <v>267000</v>
      </c>
      <c r="P13" s="294">
        <v>43200</v>
      </c>
      <c r="Q13" s="294">
        <v>15000</v>
      </c>
      <c r="R13" s="294">
        <v>0</v>
      </c>
      <c r="S13" s="294">
        <v>7000</v>
      </c>
      <c r="T13" s="294">
        <v>0</v>
      </c>
      <c r="U13" s="294">
        <v>1500</v>
      </c>
      <c r="V13" s="295">
        <f t="shared" si="1"/>
        <v>333700</v>
      </c>
      <c r="W13" s="296">
        <v>300</v>
      </c>
      <c r="X13" s="297" t="s">
        <v>450</v>
      </c>
      <c r="Y13" s="298"/>
      <c r="Z13" s="272"/>
      <c r="AA13" s="299">
        <v>0</v>
      </c>
      <c r="AB13" s="272"/>
      <c r="AC13" s="300" t="str">
        <f t="shared" ca="1" si="2"/>
        <v>46歳3ヶ月</v>
      </c>
      <c r="AD13" s="300" t="str">
        <f t="shared" ca="1" si="6"/>
        <v>16年0ヶ月</v>
      </c>
      <c r="AE13" s="368"/>
      <c r="AF13" s="369"/>
      <c r="AG13" s="190"/>
      <c r="AH13" s="194"/>
      <c r="AI13" s="192"/>
      <c r="AJ13" s="190"/>
      <c r="AK13" s="190"/>
      <c r="AL13" s="196"/>
      <c r="AM13" s="198"/>
      <c r="AN13" s="190"/>
      <c r="AO13" s="190"/>
      <c r="AP13" s="200"/>
    </row>
    <row r="14" spans="1:42" ht="15" customHeight="1" x14ac:dyDescent="0.15">
      <c r="A14" s="272"/>
      <c r="B14" s="285" t="s">
        <v>343</v>
      </c>
      <c r="C14" s="286" t="s">
        <v>350</v>
      </c>
      <c r="D14" s="287" t="s">
        <v>403</v>
      </c>
      <c r="E14" s="288" t="s">
        <v>442</v>
      </c>
      <c r="F14" s="289" t="str">
        <f t="shared" si="3"/>
        <v>男</v>
      </c>
      <c r="G14" s="290">
        <v>23930</v>
      </c>
      <c r="H14" s="364">
        <v>32599</v>
      </c>
      <c r="I14" s="291" t="s">
        <v>0</v>
      </c>
      <c r="J14" s="288" t="s">
        <v>98</v>
      </c>
      <c r="K14" s="289" t="str">
        <f t="shared" si="4"/>
        <v>Ⅲ</v>
      </c>
      <c r="L14" s="291">
        <v>43</v>
      </c>
      <c r="M14" s="288" t="s">
        <v>234</v>
      </c>
      <c r="N14" s="292" t="str">
        <f t="shared" si="5"/>
        <v>課長代理</v>
      </c>
      <c r="O14" s="293">
        <v>252680</v>
      </c>
      <c r="P14" s="294">
        <v>41620</v>
      </c>
      <c r="Q14" s="294">
        <v>15000</v>
      </c>
      <c r="R14" s="294">
        <v>0</v>
      </c>
      <c r="S14" s="294">
        <v>7000</v>
      </c>
      <c r="T14" s="294">
        <v>0</v>
      </c>
      <c r="U14" s="294">
        <v>1500</v>
      </c>
      <c r="V14" s="295">
        <f t="shared" si="1"/>
        <v>317800</v>
      </c>
      <c r="W14" s="296">
        <v>300</v>
      </c>
      <c r="X14" s="297" t="s">
        <v>446</v>
      </c>
      <c r="Y14" s="298"/>
      <c r="Z14" s="272"/>
      <c r="AA14" s="299">
        <v>0</v>
      </c>
      <c r="AB14" s="272"/>
      <c r="AC14" s="300" t="str">
        <f t="shared" ca="1" si="2"/>
        <v>56歳11ヶ月</v>
      </c>
      <c r="AD14" s="300" t="str">
        <f t="shared" ca="1" si="6"/>
        <v>33年2ヶ月</v>
      </c>
      <c r="AE14" s="368"/>
      <c r="AF14" s="369"/>
      <c r="AG14" s="190"/>
      <c r="AH14" s="194"/>
      <c r="AI14" s="192"/>
      <c r="AJ14" s="190"/>
      <c r="AK14" s="190"/>
      <c r="AL14" s="196"/>
      <c r="AM14" s="198"/>
      <c r="AN14" s="190"/>
      <c r="AO14" s="190"/>
      <c r="AP14" s="200"/>
    </row>
    <row r="15" spans="1:42" ht="15" customHeight="1" x14ac:dyDescent="0.15">
      <c r="A15" s="272"/>
      <c r="B15" s="285" t="s">
        <v>343</v>
      </c>
      <c r="C15" s="286" t="s">
        <v>353</v>
      </c>
      <c r="D15" s="287" t="s">
        <v>404</v>
      </c>
      <c r="E15" s="288" t="s">
        <v>442</v>
      </c>
      <c r="F15" s="289" t="str">
        <f t="shared" si="3"/>
        <v>男</v>
      </c>
      <c r="G15" s="290">
        <v>30012</v>
      </c>
      <c r="H15" s="364">
        <v>39251</v>
      </c>
      <c r="I15" s="291" t="s">
        <v>0</v>
      </c>
      <c r="J15" s="288" t="s">
        <v>98</v>
      </c>
      <c r="K15" s="289" t="str">
        <f t="shared" si="4"/>
        <v>Ⅲ</v>
      </c>
      <c r="L15" s="291">
        <v>43</v>
      </c>
      <c r="M15" s="288" t="s">
        <v>234</v>
      </c>
      <c r="N15" s="292" t="str">
        <f t="shared" si="5"/>
        <v>課長代理</v>
      </c>
      <c r="O15" s="293">
        <v>252680</v>
      </c>
      <c r="P15" s="294">
        <v>41620</v>
      </c>
      <c r="Q15" s="294">
        <v>15000</v>
      </c>
      <c r="R15" s="294">
        <v>17000</v>
      </c>
      <c r="S15" s="294">
        <v>15000</v>
      </c>
      <c r="T15" s="294">
        <v>0</v>
      </c>
      <c r="U15" s="294">
        <v>1500</v>
      </c>
      <c r="V15" s="295">
        <f t="shared" si="1"/>
        <v>342800</v>
      </c>
      <c r="W15" s="296">
        <v>300</v>
      </c>
      <c r="X15" s="297" t="s">
        <v>446</v>
      </c>
      <c r="Y15" s="298"/>
      <c r="Z15" s="272"/>
      <c r="AA15" s="299">
        <v>0</v>
      </c>
      <c r="AB15" s="272"/>
      <c r="AC15" s="300" t="str">
        <f t="shared" ca="1" si="2"/>
        <v>40歳3ヶ月</v>
      </c>
      <c r="AD15" s="300" t="str">
        <f t="shared" ca="1" si="6"/>
        <v>15年0ヶ月</v>
      </c>
      <c r="AE15" s="368"/>
      <c r="AF15" s="369"/>
      <c r="AG15" s="190"/>
      <c r="AH15" s="194"/>
      <c r="AI15" s="192"/>
      <c r="AJ15" s="190"/>
      <c r="AK15" s="190"/>
      <c r="AL15" s="196"/>
      <c r="AM15" s="198"/>
      <c r="AN15" s="190"/>
      <c r="AO15" s="190"/>
      <c r="AP15" s="200"/>
    </row>
    <row r="16" spans="1:42" ht="15" customHeight="1" x14ac:dyDescent="0.15">
      <c r="A16" s="272"/>
      <c r="B16" s="285" t="s">
        <v>343</v>
      </c>
      <c r="C16" s="286" t="s">
        <v>363</v>
      </c>
      <c r="D16" s="287" t="s">
        <v>405</v>
      </c>
      <c r="E16" s="288" t="s">
        <v>443</v>
      </c>
      <c r="F16" s="289" t="str">
        <f t="shared" si="3"/>
        <v>女</v>
      </c>
      <c r="G16" s="290">
        <v>34324</v>
      </c>
      <c r="H16" s="364">
        <v>42461</v>
      </c>
      <c r="I16" s="291" t="s">
        <v>0</v>
      </c>
      <c r="J16" s="288" t="s">
        <v>98</v>
      </c>
      <c r="K16" s="289" t="str">
        <f t="shared" si="4"/>
        <v>Ⅲ</v>
      </c>
      <c r="L16" s="291">
        <v>26</v>
      </c>
      <c r="M16" s="288" t="s">
        <v>234</v>
      </c>
      <c r="N16" s="292" t="str">
        <f t="shared" si="5"/>
        <v>課長代理</v>
      </c>
      <c r="O16" s="293">
        <v>222250</v>
      </c>
      <c r="P16" s="294">
        <v>38450</v>
      </c>
      <c r="Q16" s="294">
        <v>15000</v>
      </c>
      <c r="R16" s="294">
        <v>0</v>
      </c>
      <c r="S16" s="294">
        <v>7000</v>
      </c>
      <c r="T16" s="294">
        <v>0</v>
      </c>
      <c r="U16" s="294">
        <v>0</v>
      </c>
      <c r="V16" s="295">
        <f t="shared" si="1"/>
        <v>282700</v>
      </c>
      <c r="W16" s="296">
        <v>300</v>
      </c>
      <c r="X16" s="297" t="s">
        <v>446</v>
      </c>
      <c r="Y16" s="298"/>
      <c r="Z16" s="272"/>
      <c r="AA16" s="299">
        <v>0</v>
      </c>
      <c r="AB16" s="272"/>
      <c r="AC16" s="300" t="str">
        <f t="shared" ca="1" si="2"/>
        <v>28歳6ヶ月</v>
      </c>
      <c r="AD16" s="300" t="str">
        <f t="shared" ca="1" si="6"/>
        <v>6年2ヶ月</v>
      </c>
      <c r="AE16" s="368"/>
      <c r="AF16" s="369"/>
      <c r="AG16" s="190"/>
      <c r="AH16" s="194"/>
      <c r="AI16" s="192"/>
      <c r="AJ16" s="190"/>
      <c r="AK16" s="190"/>
      <c r="AL16" s="196"/>
      <c r="AM16" s="198"/>
      <c r="AN16" s="190"/>
      <c r="AO16" s="190"/>
      <c r="AP16" s="200"/>
    </row>
    <row r="17" spans="1:42" ht="15" customHeight="1" x14ac:dyDescent="0.15">
      <c r="A17" s="272"/>
      <c r="B17" s="285" t="s">
        <v>343</v>
      </c>
      <c r="C17" s="286" t="s">
        <v>356</v>
      </c>
      <c r="D17" s="287" t="s">
        <v>406</v>
      </c>
      <c r="E17" s="288" t="s">
        <v>442</v>
      </c>
      <c r="F17" s="289" t="str">
        <f t="shared" si="3"/>
        <v>男</v>
      </c>
      <c r="G17" s="290">
        <v>32400</v>
      </c>
      <c r="H17" s="364">
        <v>42461</v>
      </c>
      <c r="I17" s="291" t="s">
        <v>0</v>
      </c>
      <c r="J17" s="288" t="s">
        <v>98</v>
      </c>
      <c r="K17" s="289" t="str">
        <f t="shared" si="4"/>
        <v>Ⅲ</v>
      </c>
      <c r="L17" s="291">
        <v>25</v>
      </c>
      <c r="M17" s="288" t="s">
        <v>234</v>
      </c>
      <c r="N17" s="292" t="str">
        <f t="shared" si="5"/>
        <v>課長代理</v>
      </c>
      <c r="O17" s="293">
        <v>220460</v>
      </c>
      <c r="P17" s="294">
        <v>38240</v>
      </c>
      <c r="Q17" s="294">
        <v>15000</v>
      </c>
      <c r="R17" s="294">
        <v>13000</v>
      </c>
      <c r="S17" s="294">
        <v>7000</v>
      </c>
      <c r="T17" s="294">
        <v>0</v>
      </c>
      <c r="U17" s="294">
        <v>0</v>
      </c>
      <c r="V17" s="295">
        <f t="shared" si="1"/>
        <v>293700</v>
      </c>
      <c r="W17" s="296">
        <v>300</v>
      </c>
      <c r="X17" s="297" t="s">
        <v>450</v>
      </c>
      <c r="Y17" s="298"/>
      <c r="Z17" s="272"/>
      <c r="AA17" s="299">
        <v>0</v>
      </c>
      <c r="AB17" s="272"/>
      <c r="AC17" s="300" t="str">
        <f t="shared" ca="1" si="2"/>
        <v>33歳9ヶ月</v>
      </c>
      <c r="AD17" s="300" t="str">
        <f t="shared" ca="1" si="6"/>
        <v>6年2ヶ月</v>
      </c>
      <c r="AE17" s="368"/>
      <c r="AF17" s="369"/>
      <c r="AG17" s="190"/>
      <c r="AH17" s="194"/>
      <c r="AI17" s="192"/>
      <c r="AJ17" s="190"/>
      <c r="AK17" s="190"/>
      <c r="AL17" s="196"/>
      <c r="AM17" s="198"/>
      <c r="AN17" s="190"/>
      <c r="AO17" s="190"/>
      <c r="AP17" s="200"/>
    </row>
    <row r="18" spans="1:42" ht="15" customHeight="1" x14ac:dyDescent="0.15">
      <c r="A18" s="272"/>
      <c r="B18" s="285" t="s">
        <v>343</v>
      </c>
      <c r="C18" s="286" t="s">
        <v>352</v>
      </c>
      <c r="D18" s="287" t="s">
        <v>407</v>
      </c>
      <c r="E18" s="288" t="s">
        <v>442</v>
      </c>
      <c r="F18" s="289" t="str">
        <f t="shared" si="3"/>
        <v>男</v>
      </c>
      <c r="G18" s="290">
        <v>32177</v>
      </c>
      <c r="H18" s="364">
        <v>39203</v>
      </c>
      <c r="I18" s="291" t="s">
        <v>0</v>
      </c>
      <c r="J18" s="288" t="s">
        <v>98</v>
      </c>
      <c r="K18" s="289" t="str">
        <f t="shared" si="4"/>
        <v>Ⅲ</v>
      </c>
      <c r="L18" s="291">
        <v>18</v>
      </c>
      <c r="M18" s="288" t="s">
        <v>234</v>
      </c>
      <c r="N18" s="292" t="str">
        <f t="shared" si="5"/>
        <v>課長代理</v>
      </c>
      <c r="O18" s="293">
        <v>207930</v>
      </c>
      <c r="P18" s="294">
        <v>36970</v>
      </c>
      <c r="Q18" s="294">
        <v>15000</v>
      </c>
      <c r="R18" s="294">
        <v>26000</v>
      </c>
      <c r="S18" s="294">
        <v>15000</v>
      </c>
      <c r="T18" s="294">
        <v>0</v>
      </c>
      <c r="U18" s="294">
        <v>1500</v>
      </c>
      <c r="V18" s="295">
        <f t="shared" si="1"/>
        <v>302400</v>
      </c>
      <c r="W18" s="296">
        <v>300</v>
      </c>
      <c r="X18" s="297" t="s">
        <v>449</v>
      </c>
      <c r="Y18" s="298"/>
      <c r="Z18" s="272"/>
      <c r="AA18" s="299">
        <v>0</v>
      </c>
      <c r="AB18" s="272"/>
      <c r="AC18" s="300" t="str">
        <f t="shared" ca="1" si="2"/>
        <v>34歳4ヶ月</v>
      </c>
      <c r="AD18" s="300" t="str">
        <f t="shared" ca="1" si="6"/>
        <v>15年1ヶ月</v>
      </c>
      <c r="AE18" s="368"/>
      <c r="AF18" s="369"/>
      <c r="AG18" s="190"/>
      <c r="AH18" s="194"/>
      <c r="AI18" s="192"/>
      <c r="AJ18" s="190"/>
      <c r="AK18" s="190"/>
      <c r="AL18" s="196"/>
      <c r="AM18" s="198"/>
      <c r="AN18" s="190"/>
      <c r="AO18" s="190"/>
      <c r="AP18" s="200"/>
    </row>
    <row r="19" spans="1:42" ht="15" customHeight="1" x14ac:dyDescent="0.15">
      <c r="A19" s="272"/>
      <c r="B19" s="285" t="s">
        <v>343</v>
      </c>
      <c r="C19" s="286" t="s">
        <v>354</v>
      </c>
      <c r="D19" s="287" t="s">
        <v>408</v>
      </c>
      <c r="E19" s="288" t="s">
        <v>442</v>
      </c>
      <c r="F19" s="289" t="str">
        <f t="shared" si="3"/>
        <v>男</v>
      </c>
      <c r="G19" s="290">
        <v>30574</v>
      </c>
      <c r="H19" s="364">
        <v>41155</v>
      </c>
      <c r="I19" s="291" t="s">
        <v>0</v>
      </c>
      <c r="J19" s="288" t="s">
        <v>98</v>
      </c>
      <c r="K19" s="289" t="str">
        <f t="shared" si="4"/>
        <v>Ⅲ</v>
      </c>
      <c r="L19" s="291">
        <v>17</v>
      </c>
      <c r="M19" s="288" t="s">
        <v>234</v>
      </c>
      <c r="N19" s="292" t="str">
        <f t="shared" si="5"/>
        <v>課長代理</v>
      </c>
      <c r="O19" s="293">
        <v>206140</v>
      </c>
      <c r="P19" s="294">
        <v>36760</v>
      </c>
      <c r="Q19" s="294">
        <v>15000</v>
      </c>
      <c r="R19" s="294">
        <v>9000</v>
      </c>
      <c r="S19" s="294">
        <v>15000</v>
      </c>
      <c r="T19" s="294">
        <v>0</v>
      </c>
      <c r="U19" s="294">
        <v>1500</v>
      </c>
      <c r="V19" s="295">
        <f t="shared" si="1"/>
        <v>283400</v>
      </c>
      <c r="W19" s="296">
        <v>300</v>
      </c>
      <c r="X19" s="297" t="s">
        <v>446</v>
      </c>
      <c r="Y19" s="298"/>
      <c r="Z19" s="272"/>
      <c r="AA19" s="299">
        <v>0</v>
      </c>
      <c r="AB19" s="272"/>
      <c r="AC19" s="300" t="str">
        <f t="shared" ca="1" si="2"/>
        <v>38歳9ヶ月</v>
      </c>
      <c r="AD19" s="300" t="str">
        <f t="shared" ca="1" si="6"/>
        <v>9年9ヶ月</v>
      </c>
      <c r="AE19" s="368"/>
      <c r="AF19" s="369"/>
      <c r="AG19" s="190"/>
      <c r="AH19" s="194"/>
      <c r="AI19" s="192"/>
      <c r="AJ19" s="190"/>
      <c r="AK19" s="190"/>
      <c r="AL19" s="196"/>
      <c r="AM19" s="198"/>
      <c r="AN19" s="190"/>
      <c r="AO19" s="190"/>
      <c r="AP19" s="200"/>
    </row>
    <row r="20" spans="1:42" ht="15" customHeight="1" x14ac:dyDescent="0.15">
      <c r="A20" s="272"/>
      <c r="B20" s="285" t="s">
        <v>343</v>
      </c>
      <c r="C20" s="286" t="s">
        <v>365</v>
      </c>
      <c r="D20" s="287" t="s">
        <v>409</v>
      </c>
      <c r="E20" s="288" t="s">
        <v>443</v>
      </c>
      <c r="F20" s="289" t="str">
        <f t="shared" si="3"/>
        <v>女</v>
      </c>
      <c r="G20" s="290">
        <v>33044</v>
      </c>
      <c r="H20" s="364">
        <v>43040</v>
      </c>
      <c r="I20" s="291" t="s">
        <v>0</v>
      </c>
      <c r="J20" s="288" t="s">
        <v>98</v>
      </c>
      <c r="K20" s="289" t="str">
        <f t="shared" si="4"/>
        <v>Ⅲ</v>
      </c>
      <c r="L20" s="291">
        <v>13</v>
      </c>
      <c r="M20" s="288" t="s">
        <v>234</v>
      </c>
      <c r="N20" s="292" t="str">
        <f t="shared" si="5"/>
        <v>課長代理</v>
      </c>
      <c r="O20" s="293">
        <v>198980</v>
      </c>
      <c r="P20" s="294">
        <v>36020</v>
      </c>
      <c r="Q20" s="294">
        <v>15000</v>
      </c>
      <c r="R20" s="294">
        <v>0</v>
      </c>
      <c r="S20" s="294">
        <v>7000</v>
      </c>
      <c r="T20" s="294">
        <v>0</v>
      </c>
      <c r="U20" s="294">
        <v>0</v>
      </c>
      <c r="V20" s="295">
        <f t="shared" si="1"/>
        <v>257000</v>
      </c>
      <c r="W20" s="296">
        <v>500</v>
      </c>
      <c r="X20" s="297" t="s">
        <v>450</v>
      </c>
      <c r="Y20" s="298"/>
      <c r="Z20" s="272"/>
      <c r="AA20" s="299">
        <v>0</v>
      </c>
      <c r="AB20" s="272"/>
      <c r="AC20" s="300" t="str">
        <f t="shared" ca="1" si="2"/>
        <v>32歳0ヶ月</v>
      </c>
      <c r="AD20" s="300" t="str">
        <f t="shared" ca="1" si="6"/>
        <v>4年7ヶ月</v>
      </c>
      <c r="AE20" s="368"/>
      <c r="AF20" s="369"/>
      <c r="AG20" s="190"/>
      <c r="AH20" s="194"/>
      <c r="AI20" s="192"/>
      <c r="AJ20" s="190"/>
      <c r="AK20" s="190"/>
      <c r="AL20" s="196"/>
      <c r="AM20" s="198"/>
      <c r="AN20" s="190"/>
      <c r="AO20" s="190"/>
      <c r="AP20" s="200"/>
    </row>
    <row r="21" spans="1:42" ht="15" customHeight="1" x14ac:dyDescent="0.15">
      <c r="A21" s="272"/>
      <c r="B21" s="285" t="s">
        <v>343</v>
      </c>
      <c r="C21" s="286" t="s">
        <v>357</v>
      </c>
      <c r="D21" s="287" t="s">
        <v>410</v>
      </c>
      <c r="E21" s="288" t="s">
        <v>442</v>
      </c>
      <c r="F21" s="289" t="str">
        <f t="shared" si="3"/>
        <v>男</v>
      </c>
      <c r="G21" s="290">
        <v>24456</v>
      </c>
      <c r="H21" s="364">
        <v>38173</v>
      </c>
      <c r="I21" s="291" t="s">
        <v>0</v>
      </c>
      <c r="J21" s="288" t="s">
        <v>112</v>
      </c>
      <c r="K21" s="289" t="str">
        <f t="shared" si="4"/>
        <v>Ⅱ</v>
      </c>
      <c r="L21" s="291">
        <v>60</v>
      </c>
      <c r="M21" s="288"/>
      <c r="N21" s="292" t="str">
        <f t="shared" si="5"/>
        <v/>
      </c>
      <c r="O21" s="293">
        <v>226070</v>
      </c>
      <c r="P21" s="294">
        <v>38830</v>
      </c>
      <c r="Q21" s="294">
        <v>0</v>
      </c>
      <c r="R21" s="294">
        <v>0</v>
      </c>
      <c r="S21" s="294">
        <v>0</v>
      </c>
      <c r="T21" s="294">
        <v>0</v>
      </c>
      <c r="U21" s="294">
        <v>1500</v>
      </c>
      <c r="V21" s="295">
        <f t="shared" si="1"/>
        <v>266400</v>
      </c>
      <c r="W21" s="296">
        <v>300</v>
      </c>
      <c r="X21" s="297" t="s">
        <v>448</v>
      </c>
      <c r="Y21" s="298"/>
      <c r="Z21" s="272"/>
      <c r="AA21" s="299">
        <v>0</v>
      </c>
      <c r="AB21" s="272"/>
      <c r="AC21" s="300" t="str">
        <f t="shared" ca="1" si="2"/>
        <v>55歳6ヶ月</v>
      </c>
      <c r="AD21" s="300" t="str">
        <f t="shared" ca="1" si="6"/>
        <v>17年11ヶ月</v>
      </c>
      <c r="AE21" s="368"/>
      <c r="AF21" s="369"/>
      <c r="AG21" s="190"/>
      <c r="AH21" s="194"/>
      <c r="AI21" s="192"/>
      <c r="AJ21" s="190"/>
      <c r="AK21" s="190"/>
      <c r="AL21" s="196"/>
      <c r="AM21" s="198"/>
      <c r="AN21" s="190"/>
      <c r="AO21" s="190"/>
      <c r="AP21" s="200"/>
    </row>
    <row r="22" spans="1:42" ht="15" customHeight="1" x14ac:dyDescent="0.15">
      <c r="A22" s="272"/>
      <c r="B22" s="285" t="s">
        <v>343</v>
      </c>
      <c r="C22" s="286" t="s">
        <v>370</v>
      </c>
      <c r="D22" s="287" t="s">
        <v>411</v>
      </c>
      <c r="E22" s="288" t="s">
        <v>442</v>
      </c>
      <c r="F22" s="289" t="str">
        <f t="shared" si="3"/>
        <v>男</v>
      </c>
      <c r="G22" s="290">
        <v>30824</v>
      </c>
      <c r="H22" s="364">
        <v>43361</v>
      </c>
      <c r="I22" s="291" t="s">
        <v>0</v>
      </c>
      <c r="J22" s="288" t="s">
        <v>112</v>
      </c>
      <c r="K22" s="289" t="str">
        <f t="shared" si="4"/>
        <v>Ⅱ</v>
      </c>
      <c r="L22" s="291">
        <v>59</v>
      </c>
      <c r="M22" s="288"/>
      <c r="N22" s="292" t="str">
        <f t="shared" si="5"/>
        <v/>
      </c>
      <c r="O22" s="293">
        <v>224640</v>
      </c>
      <c r="P22" s="294">
        <v>38660</v>
      </c>
      <c r="Q22" s="294">
        <v>0</v>
      </c>
      <c r="R22" s="294">
        <v>13000</v>
      </c>
      <c r="S22" s="294">
        <v>15000</v>
      </c>
      <c r="T22" s="294">
        <v>0</v>
      </c>
      <c r="U22" s="294">
        <v>0</v>
      </c>
      <c r="V22" s="295">
        <f t="shared" si="1"/>
        <v>291300</v>
      </c>
      <c r="W22" s="296">
        <v>300</v>
      </c>
      <c r="X22" s="297" t="s">
        <v>446</v>
      </c>
      <c r="Y22" s="298"/>
      <c r="Z22" s="272"/>
      <c r="AA22" s="299">
        <v>0</v>
      </c>
      <c r="AB22" s="272"/>
      <c r="AC22" s="300" t="str">
        <f t="shared" ca="1" si="2"/>
        <v>38歳1ヶ月</v>
      </c>
      <c r="AD22" s="300" t="str">
        <f t="shared" ca="1" si="6"/>
        <v>3年9ヶ月</v>
      </c>
      <c r="AE22" s="368"/>
      <c r="AF22" s="369"/>
      <c r="AG22" s="190"/>
      <c r="AH22" s="194"/>
      <c r="AI22" s="192"/>
      <c r="AJ22" s="190"/>
      <c r="AK22" s="190"/>
      <c r="AL22" s="196"/>
      <c r="AM22" s="198"/>
      <c r="AN22" s="190"/>
      <c r="AO22" s="190"/>
      <c r="AP22" s="200"/>
    </row>
    <row r="23" spans="1:42" ht="15" customHeight="1" x14ac:dyDescent="0.15">
      <c r="A23" s="272"/>
      <c r="B23" s="285" t="s">
        <v>343</v>
      </c>
      <c r="C23" s="286" t="s">
        <v>359</v>
      </c>
      <c r="D23" s="287" t="s">
        <v>412</v>
      </c>
      <c r="E23" s="288" t="s">
        <v>442</v>
      </c>
      <c r="F23" s="289" t="str">
        <f t="shared" si="3"/>
        <v>男</v>
      </c>
      <c r="G23" s="290">
        <v>32706</v>
      </c>
      <c r="H23" s="364">
        <v>41107</v>
      </c>
      <c r="I23" s="291" t="s">
        <v>0</v>
      </c>
      <c r="J23" s="288" t="s">
        <v>112</v>
      </c>
      <c r="K23" s="289" t="str">
        <f t="shared" si="4"/>
        <v>Ⅱ</v>
      </c>
      <c r="L23" s="291">
        <v>58</v>
      </c>
      <c r="M23" s="288"/>
      <c r="N23" s="292" t="str">
        <f t="shared" si="5"/>
        <v/>
      </c>
      <c r="O23" s="293">
        <v>223210</v>
      </c>
      <c r="P23" s="294">
        <v>38590</v>
      </c>
      <c r="Q23" s="294">
        <v>0</v>
      </c>
      <c r="R23" s="294">
        <v>0</v>
      </c>
      <c r="S23" s="294">
        <v>7000</v>
      </c>
      <c r="T23" s="294">
        <v>10000</v>
      </c>
      <c r="U23" s="294">
        <v>1500</v>
      </c>
      <c r="V23" s="295">
        <f t="shared" si="1"/>
        <v>280300</v>
      </c>
      <c r="W23" s="296">
        <v>300</v>
      </c>
      <c r="X23" s="297" t="s">
        <v>450</v>
      </c>
      <c r="Y23" s="298"/>
      <c r="Z23" s="272"/>
      <c r="AA23" s="299">
        <v>0</v>
      </c>
      <c r="AB23" s="272"/>
      <c r="AC23" s="300" t="str">
        <f t="shared" ca="1" si="2"/>
        <v>32歳11ヶ月</v>
      </c>
      <c r="AD23" s="300" t="str">
        <f t="shared" ca="1" si="6"/>
        <v>9年11ヶ月</v>
      </c>
      <c r="AE23" s="368"/>
      <c r="AF23" s="369"/>
      <c r="AG23" s="190"/>
      <c r="AH23" s="194"/>
      <c r="AI23" s="192"/>
      <c r="AJ23" s="190"/>
      <c r="AK23" s="190"/>
      <c r="AL23" s="196"/>
      <c r="AM23" s="198"/>
      <c r="AN23" s="190"/>
      <c r="AO23" s="190"/>
      <c r="AP23" s="200"/>
    </row>
    <row r="24" spans="1:42" ht="15" customHeight="1" x14ac:dyDescent="0.15">
      <c r="A24" s="272"/>
      <c r="B24" s="285" t="s">
        <v>343</v>
      </c>
      <c r="C24" s="286" t="s">
        <v>358</v>
      </c>
      <c r="D24" s="287" t="s">
        <v>413</v>
      </c>
      <c r="E24" s="288" t="s">
        <v>443</v>
      </c>
      <c r="F24" s="289" t="str">
        <f t="shared" si="3"/>
        <v>女</v>
      </c>
      <c r="G24" s="290">
        <v>26802</v>
      </c>
      <c r="H24" s="364">
        <v>39237</v>
      </c>
      <c r="I24" s="291" t="s">
        <v>0</v>
      </c>
      <c r="J24" s="288" t="s">
        <v>112</v>
      </c>
      <c r="K24" s="289" t="str">
        <f t="shared" si="4"/>
        <v>Ⅱ</v>
      </c>
      <c r="L24" s="291">
        <v>49</v>
      </c>
      <c r="M24" s="288"/>
      <c r="N24" s="292" t="str">
        <f t="shared" si="5"/>
        <v/>
      </c>
      <c r="O24" s="293">
        <v>210340</v>
      </c>
      <c r="P24" s="294">
        <v>37160</v>
      </c>
      <c r="Q24" s="294">
        <v>0</v>
      </c>
      <c r="R24" s="294">
        <v>9000</v>
      </c>
      <c r="S24" s="294">
        <v>0</v>
      </c>
      <c r="T24" s="294">
        <v>0</v>
      </c>
      <c r="U24" s="294">
        <v>1500</v>
      </c>
      <c r="V24" s="295">
        <f t="shared" si="1"/>
        <v>258000</v>
      </c>
      <c r="W24" s="296">
        <v>300</v>
      </c>
      <c r="X24" s="297" t="s">
        <v>448</v>
      </c>
      <c r="Y24" s="298"/>
      <c r="Z24" s="272"/>
      <c r="AA24" s="299">
        <v>0</v>
      </c>
      <c r="AB24" s="272"/>
      <c r="AC24" s="300" t="str">
        <f t="shared" ca="1" si="2"/>
        <v>49歳1ヶ月</v>
      </c>
      <c r="AD24" s="300" t="str">
        <f t="shared" ca="1" si="6"/>
        <v>15年0ヶ月</v>
      </c>
      <c r="AE24" s="368"/>
      <c r="AF24" s="369"/>
      <c r="AG24" s="190"/>
      <c r="AH24" s="194"/>
      <c r="AI24" s="192"/>
      <c r="AJ24" s="190"/>
      <c r="AK24" s="190"/>
      <c r="AL24" s="196"/>
      <c r="AM24" s="198"/>
      <c r="AN24" s="190"/>
      <c r="AO24" s="190"/>
      <c r="AP24" s="200"/>
    </row>
    <row r="25" spans="1:42" ht="15" customHeight="1" x14ac:dyDescent="0.15">
      <c r="A25" s="272"/>
      <c r="B25" s="285" t="s">
        <v>343</v>
      </c>
      <c r="C25" s="286" t="s">
        <v>364</v>
      </c>
      <c r="D25" s="287" t="s">
        <v>414</v>
      </c>
      <c r="E25" s="288" t="s">
        <v>442</v>
      </c>
      <c r="F25" s="289" t="str">
        <f t="shared" si="3"/>
        <v>男</v>
      </c>
      <c r="G25" s="290">
        <v>31982</v>
      </c>
      <c r="H25" s="364">
        <v>42917</v>
      </c>
      <c r="I25" s="291" t="s">
        <v>0</v>
      </c>
      <c r="J25" s="288" t="s">
        <v>112</v>
      </c>
      <c r="K25" s="289" t="str">
        <f t="shared" si="4"/>
        <v>Ⅱ</v>
      </c>
      <c r="L25" s="291">
        <v>43</v>
      </c>
      <c r="M25" s="288"/>
      <c r="N25" s="292" t="str">
        <f t="shared" si="5"/>
        <v/>
      </c>
      <c r="O25" s="293">
        <v>201760</v>
      </c>
      <c r="P25" s="294">
        <v>36340</v>
      </c>
      <c r="Q25" s="294">
        <v>0</v>
      </c>
      <c r="R25" s="294">
        <v>0</v>
      </c>
      <c r="S25" s="294">
        <v>7000</v>
      </c>
      <c r="T25" s="294">
        <v>0</v>
      </c>
      <c r="U25" s="294">
        <v>0</v>
      </c>
      <c r="V25" s="295">
        <f t="shared" si="1"/>
        <v>245100</v>
      </c>
      <c r="W25" s="296">
        <v>300</v>
      </c>
      <c r="X25" s="297" t="s">
        <v>449</v>
      </c>
      <c r="Y25" s="298"/>
      <c r="Z25" s="272"/>
      <c r="AA25" s="299">
        <v>0</v>
      </c>
      <c r="AB25" s="272"/>
      <c r="AC25" s="300" t="str">
        <f t="shared" ca="1" si="2"/>
        <v>34歳11ヶ月</v>
      </c>
      <c r="AD25" s="300" t="str">
        <f t="shared" ca="1" si="6"/>
        <v>4年11ヶ月</v>
      </c>
      <c r="AE25" s="368"/>
      <c r="AF25" s="369"/>
      <c r="AG25" s="190"/>
      <c r="AH25" s="194"/>
      <c r="AI25" s="192"/>
      <c r="AJ25" s="190"/>
      <c r="AK25" s="190"/>
      <c r="AL25" s="196"/>
      <c r="AM25" s="198"/>
      <c r="AN25" s="190"/>
      <c r="AO25" s="190"/>
      <c r="AP25" s="200"/>
    </row>
    <row r="26" spans="1:42" ht="15" customHeight="1" x14ac:dyDescent="0.15">
      <c r="A26" s="272"/>
      <c r="B26" s="285" t="s">
        <v>343</v>
      </c>
      <c r="C26" s="286" t="s">
        <v>368</v>
      </c>
      <c r="D26" s="287" t="s">
        <v>415</v>
      </c>
      <c r="E26" s="288" t="s">
        <v>443</v>
      </c>
      <c r="F26" s="289" t="str">
        <f t="shared" si="3"/>
        <v>女</v>
      </c>
      <c r="G26" s="290">
        <v>34938</v>
      </c>
      <c r="H26" s="364">
        <v>43191</v>
      </c>
      <c r="I26" s="291" t="s">
        <v>0</v>
      </c>
      <c r="J26" s="288" t="s">
        <v>112</v>
      </c>
      <c r="K26" s="289" t="str">
        <f t="shared" si="4"/>
        <v>Ⅱ</v>
      </c>
      <c r="L26" s="291">
        <v>38</v>
      </c>
      <c r="M26" s="288"/>
      <c r="N26" s="292" t="str">
        <f t="shared" si="5"/>
        <v/>
      </c>
      <c r="O26" s="293">
        <v>194610</v>
      </c>
      <c r="P26" s="294">
        <v>35590</v>
      </c>
      <c r="Q26" s="294">
        <v>0</v>
      </c>
      <c r="R26" s="294">
        <v>0</v>
      </c>
      <c r="S26" s="294">
        <v>7000</v>
      </c>
      <c r="T26" s="294">
        <v>0</v>
      </c>
      <c r="U26" s="294">
        <v>0</v>
      </c>
      <c r="V26" s="295">
        <f t="shared" si="1"/>
        <v>237200</v>
      </c>
      <c r="W26" s="296">
        <v>300</v>
      </c>
      <c r="X26" s="297" t="s">
        <v>446</v>
      </c>
      <c r="Y26" s="298"/>
      <c r="Z26" s="272"/>
      <c r="AA26" s="299">
        <v>0</v>
      </c>
      <c r="AB26" s="272"/>
      <c r="AC26" s="300" t="str">
        <f t="shared" ca="1" si="2"/>
        <v>26歳10ヶ月</v>
      </c>
      <c r="AD26" s="300" t="str">
        <f t="shared" ca="1" si="6"/>
        <v>4年2ヶ月</v>
      </c>
      <c r="AE26" s="368"/>
      <c r="AF26" s="369"/>
      <c r="AG26" s="190"/>
      <c r="AH26" s="194"/>
      <c r="AI26" s="192"/>
      <c r="AJ26" s="190"/>
      <c r="AK26" s="190"/>
      <c r="AL26" s="196"/>
      <c r="AM26" s="198"/>
      <c r="AN26" s="190"/>
      <c r="AO26" s="190"/>
      <c r="AP26" s="200"/>
    </row>
    <row r="27" spans="1:42" ht="15" customHeight="1" x14ac:dyDescent="0.15">
      <c r="A27" s="272"/>
      <c r="B27" s="285" t="s">
        <v>343</v>
      </c>
      <c r="C27" s="286" t="s">
        <v>367</v>
      </c>
      <c r="D27" s="287" t="s">
        <v>416</v>
      </c>
      <c r="E27" s="288" t="s">
        <v>442</v>
      </c>
      <c r="F27" s="289" t="str">
        <f t="shared" si="3"/>
        <v>男</v>
      </c>
      <c r="G27" s="290">
        <v>30232</v>
      </c>
      <c r="H27" s="364">
        <v>43160</v>
      </c>
      <c r="I27" s="291" t="s">
        <v>0</v>
      </c>
      <c r="J27" s="288" t="s">
        <v>112</v>
      </c>
      <c r="K27" s="289" t="str">
        <f t="shared" si="4"/>
        <v>Ⅱ</v>
      </c>
      <c r="L27" s="291">
        <v>36</v>
      </c>
      <c r="M27" s="341"/>
      <c r="N27" s="292" t="str">
        <f t="shared" si="5"/>
        <v/>
      </c>
      <c r="O27" s="301">
        <v>191750</v>
      </c>
      <c r="P27" s="302">
        <v>35250</v>
      </c>
      <c r="Q27" s="302">
        <v>0</v>
      </c>
      <c r="R27" s="302">
        <v>0</v>
      </c>
      <c r="S27" s="302">
        <v>7000</v>
      </c>
      <c r="T27" s="302">
        <v>0</v>
      </c>
      <c r="U27" s="294">
        <v>0</v>
      </c>
      <c r="V27" s="303">
        <f t="shared" si="1"/>
        <v>234000</v>
      </c>
      <c r="W27" s="296">
        <v>300</v>
      </c>
      <c r="X27" s="297" t="s">
        <v>446</v>
      </c>
      <c r="Y27" s="298"/>
      <c r="Z27" s="272"/>
      <c r="AA27" s="299">
        <v>0</v>
      </c>
      <c r="AB27" s="272"/>
      <c r="AC27" s="300" t="str">
        <f t="shared" ca="1" si="2"/>
        <v>39歳8ヶ月</v>
      </c>
      <c r="AD27" s="300" t="str">
        <f t="shared" ca="1" si="6"/>
        <v>4年3ヶ月</v>
      </c>
      <c r="AE27" s="368"/>
      <c r="AF27" s="369"/>
      <c r="AG27" s="190"/>
      <c r="AH27" s="194"/>
      <c r="AI27" s="192"/>
      <c r="AJ27" s="190"/>
      <c r="AK27" s="190"/>
      <c r="AL27" s="196"/>
      <c r="AM27" s="198"/>
      <c r="AN27" s="190"/>
      <c r="AO27" s="190"/>
      <c r="AP27" s="200"/>
    </row>
    <row r="28" spans="1:42" ht="15" customHeight="1" x14ac:dyDescent="0.15">
      <c r="A28" s="272"/>
      <c r="B28" s="285" t="s">
        <v>343</v>
      </c>
      <c r="C28" s="286" t="s">
        <v>369</v>
      </c>
      <c r="D28" s="287" t="s">
        <v>417</v>
      </c>
      <c r="E28" s="288" t="s">
        <v>442</v>
      </c>
      <c r="F28" s="289" t="str">
        <f t="shared" si="3"/>
        <v>男</v>
      </c>
      <c r="G28" s="290">
        <v>35080</v>
      </c>
      <c r="H28" s="364">
        <v>43191</v>
      </c>
      <c r="I28" s="291" t="s">
        <v>0</v>
      </c>
      <c r="J28" s="288" t="s">
        <v>112</v>
      </c>
      <c r="K28" s="289" t="str">
        <f t="shared" si="4"/>
        <v>Ⅱ</v>
      </c>
      <c r="L28" s="291">
        <v>33</v>
      </c>
      <c r="M28" s="288"/>
      <c r="N28" s="292" t="str">
        <f t="shared" si="5"/>
        <v/>
      </c>
      <c r="O28" s="293">
        <v>187460</v>
      </c>
      <c r="P28" s="372">
        <v>34840</v>
      </c>
      <c r="Q28" s="294">
        <v>0</v>
      </c>
      <c r="R28" s="294">
        <v>0</v>
      </c>
      <c r="S28" s="294">
        <v>7000</v>
      </c>
      <c r="T28" s="294">
        <v>0</v>
      </c>
      <c r="U28" s="294">
        <v>0</v>
      </c>
      <c r="V28" s="295">
        <f t="shared" si="1"/>
        <v>229300</v>
      </c>
      <c r="W28" s="296">
        <v>300</v>
      </c>
      <c r="X28" s="297" t="s">
        <v>450</v>
      </c>
      <c r="Y28" s="298"/>
      <c r="Z28" s="272"/>
      <c r="AA28" s="299">
        <v>0</v>
      </c>
      <c r="AB28" s="272"/>
      <c r="AC28" s="300" t="str">
        <f t="shared" ca="1" si="2"/>
        <v>26歳5ヶ月</v>
      </c>
      <c r="AD28" s="300" t="str">
        <f t="shared" ca="1" si="6"/>
        <v>4年2ヶ月</v>
      </c>
      <c r="AE28" s="368"/>
      <c r="AF28" s="369"/>
      <c r="AG28" s="190"/>
      <c r="AH28" s="194"/>
      <c r="AI28" s="192"/>
      <c r="AJ28" s="190"/>
      <c r="AK28" s="190"/>
      <c r="AL28" s="196"/>
      <c r="AM28" s="198"/>
      <c r="AN28" s="190"/>
      <c r="AO28" s="190"/>
      <c r="AP28" s="200"/>
    </row>
    <row r="29" spans="1:42" ht="15" customHeight="1" x14ac:dyDescent="0.15">
      <c r="A29" s="272"/>
      <c r="B29" s="285" t="s">
        <v>343</v>
      </c>
      <c r="C29" s="286" t="s">
        <v>373</v>
      </c>
      <c r="D29" s="287" t="s">
        <v>418</v>
      </c>
      <c r="E29" s="288" t="s">
        <v>443</v>
      </c>
      <c r="F29" s="289" t="str">
        <f t="shared" si="3"/>
        <v>女</v>
      </c>
      <c r="G29" s="290">
        <v>31141</v>
      </c>
      <c r="H29" s="364">
        <v>44090</v>
      </c>
      <c r="I29" s="291" t="s">
        <v>0</v>
      </c>
      <c r="J29" s="288" t="s">
        <v>112</v>
      </c>
      <c r="K29" s="289" t="str">
        <f t="shared" si="4"/>
        <v>Ⅱ</v>
      </c>
      <c r="L29" s="291">
        <v>31</v>
      </c>
      <c r="M29" s="288"/>
      <c r="N29" s="292" t="str">
        <f t="shared" si="5"/>
        <v/>
      </c>
      <c r="O29" s="293">
        <v>184600</v>
      </c>
      <c r="P29" s="294">
        <v>34500</v>
      </c>
      <c r="Q29" s="294">
        <v>0</v>
      </c>
      <c r="R29" s="294">
        <v>0</v>
      </c>
      <c r="S29" s="294">
        <v>7000</v>
      </c>
      <c r="T29" s="294">
        <v>0</v>
      </c>
      <c r="U29" s="294">
        <v>0</v>
      </c>
      <c r="V29" s="295">
        <f t="shared" si="1"/>
        <v>226100</v>
      </c>
      <c r="W29" s="296">
        <v>500</v>
      </c>
      <c r="X29" s="297" t="s">
        <v>450</v>
      </c>
      <c r="Y29" s="298"/>
      <c r="Z29" s="272"/>
      <c r="AA29" s="299">
        <v>0</v>
      </c>
      <c r="AB29" s="272"/>
      <c r="AC29" s="300" t="str">
        <f t="shared" ca="1" si="2"/>
        <v>37歳2ヶ月</v>
      </c>
      <c r="AD29" s="300" t="str">
        <f t="shared" ca="1" si="6"/>
        <v>1年9ヶ月</v>
      </c>
      <c r="AE29" s="368"/>
      <c r="AF29" s="369"/>
      <c r="AG29" s="190"/>
      <c r="AH29" s="194"/>
      <c r="AI29" s="192"/>
      <c r="AJ29" s="190"/>
      <c r="AK29" s="190"/>
      <c r="AL29" s="196"/>
      <c r="AM29" s="198"/>
      <c r="AN29" s="190"/>
      <c r="AO29" s="190"/>
      <c r="AP29" s="200"/>
    </row>
    <row r="30" spans="1:42" ht="15" customHeight="1" x14ac:dyDescent="0.15">
      <c r="A30" s="272"/>
      <c r="B30" s="285" t="s">
        <v>343</v>
      </c>
      <c r="C30" s="286" t="s">
        <v>360</v>
      </c>
      <c r="D30" s="287" t="s">
        <v>419</v>
      </c>
      <c r="E30" s="288" t="s">
        <v>442</v>
      </c>
      <c r="F30" s="289" t="str">
        <f t="shared" si="3"/>
        <v>男</v>
      </c>
      <c r="G30" s="290">
        <v>27922</v>
      </c>
      <c r="H30" s="364">
        <v>41351</v>
      </c>
      <c r="I30" s="291" t="s">
        <v>0</v>
      </c>
      <c r="J30" s="288" t="s">
        <v>112</v>
      </c>
      <c r="K30" s="289" t="str">
        <f t="shared" si="4"/>
        <v>Ⅱ</v>
      </c>
      <c r="L30" s="291">
        <v>30</v>
      </c>
      <c r="M30" s="288"/>
      <c r="N30" s="292" t="str">
        <f t="shared" si="5"/>
        <v/>
      </c>
      <c r="O30" s="293">
        <v>183170</v>
      </c>
      <c r="P30" s="294">
        <v>34330</v>
      </c>
      <c r="Q30" s="294">
        <v>0</v>
      </c>
      <c r="R30" s="294">
        <v>0</v>
      </c>
      <c r="S30" s="294">
        <v>7000</v>
      </c>
      <c r="T30" s="294">
        <v>0</v>
      </c>
      <c r="U30" s="294">
        <v>1500</v>
      </c>
      <c r="V30" s="295">
        <f t="shared" si="1"/>
        <v>226000</v>
      </c>
      <c r="W30" s="296">
        <v>300</v>
      </c>
      <c r="X30" s="297" t="s">
        <v>450</v>
      </c>
      <c r="Y30" s="298"/>
      <c r="Z30" s="272"/>
      <c r="AA30" s="299">
        <v>0</v>
      </c>
      <c r="AB30" s="272"/>
      <c r="AC30" s="300" t="str">
        <f t="shared" ca="1" si="2"/>
        <v>46歳0ヶ月</v>
      </c>
      <c r="AD30" s="300" t="str">
        <f t="shared" ca="1" si="6"/>
        <v>9年3ヶ月</v>
      </c>
      <c r="AE30" s="368"/>
      <c r="AF30" s="369"/>
      <c r="AG30" s="190"/>
      <c r="AH30" s="194"/>
      <c r="AI30" s="192"/>
      <c r="AJ30" s="190"/>
      <c r="AK30" s="190"/>
      <c r="AL30" s="196"/>
      <c r="AM30" s="198"/>
      <c r="AN30" s="190"/>
      <c r="AO30" s="190"/>
      <c r="AP30" s="200"/>
    </row>
    <row r="31" spans="1:42" ht="15" customHeight="1" x14ac:dyDescent="0.15">
      <c r="A31" s="272"/>
      <c r="B31" s="285" t="s">
        <v>343</v>
      </c>
      <c r="C31" s="286" t="s">
        <v>390</v>
      </c>
      <c r="D31" s="287" t="s">
        <v>420</v>
      </c>
      <c r="E31" s="288" t="s">
        <v>442</v>
      </c>
      <c r="F31" s="289" t="str">
        <f t="shared" si="3"/>
        <v>男</v>
      </c>
      <c r="G31" s="290">
        <v>35341</v>
      </c>
      <c r="H31" s="364">
        <v>44508</v>
      </c>
      <c r="I31" s="291" t="s">
        <v>0</v>
      </c>
      <c r="J31" s="288" t="s">
        <v>112</v>
      </c>
      <c r="K31" s="289" t="str">
        <f t="shared" si="4"/>
        <v>Ⅱ</v>
      </c>
      <c r="L31" s="291">
        <v>28</v>
      </c>
      <c r="M31" s="288"/>
      <c r="N31" s="292" t="str">
        <f t="shared" si="5"/>
        <v/>
      </c>
      <c r="O31" s="293">
        <v>180310</v>
      </c>
      <c r="P31" s="294">
        <v>34090</v>
      </c>
      <c r="Q31" s="294">
        <v>0</v>
      </c>
      <c r="R31" s="294">
        <v>0</v>
      </c>
      <c r="S31" s="294">
        <v>0</v>
      </c>
      <c r="T31" s="294">
        <v>0</v>
      </c>
      <c r="U31" s="294">
        <v>0</v>
      </c>
      <c r="V31" s="295">
        <f t="shared" si="1"/>
        <v>214400</v>
      </c>
      <c r="W31" s="296">
        <v>300</v>
      </c>
      <c r="X31" s="297" t="s">
        <v>448</v>
      </c>
      <c r="Y31" s="298"/>
      <c r="Z31" s="272"/>
      <c r="AA31" s="319">
        <v>0</v>
      </c>
      <c r="AB31" s="272"/>
      <c r="AC31" s="300" t="str">
        <f t="shared" ca="1" si="2"/>
        <v>25歳8ヶ月</v>
      </c>
      <c r="AD31" s="300" t="str">
        <f t="shared" ca="1" si="6"/>
        <v>0年7ヶ月</v>
      </c>
      <c r="AE31" s="368"/>
      <c r="AF31" s="369"/>
      <c r="AG31" s="190"/>
      <c r="AH31" s="194"/>
      <c r="AI31" s="192"/>
      <c r="AJ31" s="190"/>
      <c r="AK31" s="190"/>
      <c r="AL31" s="196"/>
      <c r="AM31" s="198"/>
      <c r="AN31" s="190"/>
      <c r="AO31" s="190"/>
      <c r="AP31" s="200"/>
    </row>
    <row r="32" spans="1:42" ht="15" customHeight="1" x14ac:dyDescent="0.15">
      <c r="A32" s="272"/>
      <c r="B32" s="285" t="s">
        <v>343</v>
      </c>
      <c r="C32" s="286" t="s">
        <v>361</v>
      </c>
      <c r="D32" s="287" t="s">
        <v>421</v>
      </c>
      <c r="E32" s="288" t="s">
        <v>442</v>
      </c>
      <c r="F32" s="289" t="str">
        <f t="shared" si="3"/>
        <v>男</v>
      </c>
      <c r="G32" s="290">
        <v>28033</v>
      </c>
      <c r="H32" s="364">
        <v>42191</v>
      </c>
      <c r="I32" s="291" t="s">
        <v>0</v>
      </c>
      <c r="J32" s="288" t="s">
        <v>112</v>
      </c>
      <c r="K32" s="289" t="str">
        <f t="shared" si="4"/>
        <v>Ⅱ</v>
      </c>
      <c r="L32" s="291">
        <v>27</v>
      </c>
      <c r="M32" s="288"/>
      <c r="N32" s="292" t="str">
        <f t="shared" si="5"/>
        <v/>
      </c>
      <c r="O32" s="293">
        <v>178880</v>
      </c>
      <c r="P32" s="294">
        <v>33920</v>
      </c>
      <c r="Q32" s="294">
        <v>0</v>
      </c>
      <c r="R32" s="294">
        <v>26000</v>
      </c>
      <c r="S32" s="294">
        <v>15000</v>
      </c>
      <c r="T32" s="294">
        <v>0</v>
      </c>
      <c r="U32" s="294">
        <v>0</v>
      </c>
      <c r="V32" s="295">
        <f t="shared" si="1"/>
        <v>253800</v>
      </c>
      <c r="W32" s="296">
        <v>500</v>
      </c>
      <c r="X32" s="297" t="s">
        <v>450</v>
      </c>
      <c r="Y32" s="298"/>
      <c r="Z32" s="272"/>
      <c r="AA32" s="299">
        <v>0</v>
      </c>
      <c r="AB32" s="272"/>
      <c r="AC32" s="300" t="str">
        <f t="shared" ca="1" si="2"/>
        <v>45歳8ヶ月</v>
      </c>
      <c r="AD32" s="300" t="str">
        <f t="shared" ca="1" si="6"/>
        <v>6年11ヶ月</v>
      </c>
      <c r="AE32" s="368"/>
      <c r="AF32" s="369"/>
      <c r="AG32" s="190"/>
      <c r="AH32" s="194"/>
      <c r="AI32" s="192"/>
      <c r="AJ32" s="190"/>
      <c r="AK32" s="190"/>
      <c r="AL32" s="196"/>
      <c r="AM32" s="198"/>
      <c r="AN32" s="190"/>
      <c r="AO32" s="190"/>
      <c r="AP32" s="200"/>
    </row>
    <row r="33" spans="1:42" ht="15" customHeight="1" x14ac:dyDescent="0.15">
      <c r="A33" s="272"/>
      <c r="B33" s="285" t="s">
        <v>343</v>
      </c>
      <c r="C33" s="286" t="s">
        <v>374</v>
      </c>
      <c r="D33" s="287" t="s">
        <v>422</v>
      </c>
      <c r="E33" s="288" t="s">
        <v>443</v>
      </c>
      <c r="F33" s="289" t="str">
        <f t="shared" si="3"/>
        <v>女</v>
      </c>
      <c r="G33" s="290">
        <v>30902</v>
      </c>
      <c r="H33" s="364">
        <v>44326</v>
      </c>
      <c r="I33" s="291" t="s">
        <v>0</v>
      </c>
      <c r="J33" s="288" t="s">
        <v>112</v>
      </c>
      <c r="K33" s="289" t="str">
        <f t="shared" si="4"/>
        <v>Ⅱ</v>
      </c>
      <c r="L33" s="291">
        <v>22</v>
      </c>
      <c r="M33" s="288"/>
      <c r="N33" s="292" t="str">
        <f t="shared" si="5"/>
        <v/>
      </c>
      <c r="O33" s="301">
        <v>171730</v>
      </c>
      <c r="P33" s="302">
        <v>33170</v>
      </c>
      <c r="Q33" s="302">
        <v>0</v>
      </c>
      <c r="R33" s="302">
        <v>0</v>
      </c>
      <c r="S33" s="302">
        <v>7000</v>
      </c>
      <c r="T33" s="302">
        <v>0</v>
      </c>
      <c r="U33" s="294">
        <v>0</v>
      </c>
      <c r="V33" s="303">
        <f t="shared" si="1"/>
        <v>211900</v>
      </c>
      <c r="W33" s="296">
        <v>500</v>
      </c>
      <c r="X33" s="297" t="s">
        <v>450</v>
      </c>
      <c r="Y33" s="298"/>
      <c r="Z33" s="272"/>
      <c r="AA33" s="299">
        <v>0</v>
      </c>
      <c r="AB33" s="272"/>
      <c r="AC33" s="300" t="str">
        <f t="shared" ca="1" si="2"/>
        <v>37歳10ヶ月</v>
      </c>
      <c r="AD33" s="300" t="str">
        <f t="shared" ca="1" si="6"/>
        <v>1年1ヶ月</v>
      </c>
      <c r="AE33" s="368"/>
      <c r="AF33" s="369"/>
      <c r="AG33" s="190"/>
      <c r="AH33" s="194"/>
      <c r="AI33" s="192"/>
      <c r="AJ33" s="190"/>
      <c r="AK33" s="190"/>
      <c r="AL33" s="196"/>
      <c r="AM33" s="198"/>
      <c r="AN33" s="190"/>
      <c r="AO33" s="190"/>
      <c r="AP33" s="200"/>
    </row>
    <row r="34" spans="1:42" ht="15" customHeight="1" x14ac:dyDescent="0.15">
      <c r="A34" s="272"/>
      <c r="B34" s="285" t="s">
        <v>343</v>
      </c>
      <c r="C34" s="286" t="s">
        <v>366</v>
      </c>
      <c r="D34" s="287" t="s">
        <v>423</v>
      </c>
      <c r="E34" s="288" t="s">
        <v>442</v>
      </c>
      <c r="F34" s="289" t="str">
        <f t="shared" si="3"/>
        <v>男</v>
      </c>
      <c r="G34" s="290">
        <v>34684</v>
      </c>
      <c r="H34" s="364">
        <v>43147</v>
      </c>
      <c r="I34" s="291" t="s">
        <v>0</v>
      </c>
      <c r="J34" s="288" t="s">
        <v>112</v>
      </c>
      <c r="K34" s="289" t="str">
        <f t="shared" si="4"/>
        <v>Ⅱ</v>
      </c>
      <c r="L34" s="291">
        <v>21</v>
      </c>
      <c r="M34" s="288"/>
      <c r="N34" s="292" t="str">
        <f t="shared" si="5"/>
        <v/>
      </c>
      <c r="O34" s="293">
        <v>170300</v>
      </c>
      <c r="P34" s="294">
        <v>33000</v>
      </c>
      <c r="Q34" s="294">
        <v>0</v>
      </c>
      <c r="R34" s="294">
        <v>0</v>
      </c>
      <c r="S34" s="294">
        <v>7000</v>
      </c>
      <c r="T34" s="294">
        <v>0</v>
      </c>
      <c r="U34" s="294">
        <v>0</v>
      </c>
      <c r="V34" s="295">
        <f t="shared" si="1"/>
        <v>210300</v>
      </c>
      <c r="W34" s="296">
        <v>300</v>
      </c>
      <c r="X34" s="297" t="s">
        <v>450</v>
      </c>
      <c r="Y34" s="298"/>
      <c r="Z34" s="272"/>
      <c r="AA34" s="299">
        <v>0</v>
      </c>
      <c r="AB34" s="272"/>
      <c r="AC34" s="300" t="str">
        <f t="shared" ca="1" si="2"/>
        <v>27歳6ヶ月</v>
      </c>
      <c r="AD34" s="300" t="str">
        <f t="shared" ca="1" si="6"/>
        <v>4年4ヶ月</v>
      </c>
      <c r="AE34" s="368"/>
      <c r="AF34" s="369"/>
      <c r="AG34" s="190"/>
      <c r="AH34" s="194"/>
      <c r="AI34" s="192"/>
      <c r="AJ34" s="190"/>
      <c r="AK34" s="190"/>
      <c r="AL34" s="196"/>
      <c r="AM34" s="198"/>
      <c r="AN34" s="190"/>
      <c r="AO34" s="190"/>
      <c r="AP34" s="200"/>
    </row>
    <row r="35" spans="1:42" ht="15" customHeight="1" x14ac:dyDescent="0.15">
      <c r="A35" s="272"/>
      <c r="B35" s="285" t="s">
        <v>343</v>
      </c>
      <c r="C35" s="286" t="s">
        <v>371</v>
      </c>
      <c r="D35" s="287" t="s">
        <v>424</v>
      </c>
      <c r="E35" s="288" t="s">
        <v>443</v>
      </c>
      <c r="F35" s="289" t="str">
        <f t="shared" si="3"/>
        <v>女</v>
      </c>
      <c r="G35" s="290">
        <v>35551</v>
      </c>
      <c r="H35" s="364">
        <v>43592</v>
      </c>
      <c r="I35" s="291" t="s">
        <v>0</v>
      </c>
      <c r="J35" s="288" t="s">
        <v>112</v>
      </c>
      <c r="K35" s="289" t="str">
        <f t="shared" si="4"/>
        <v>Ⅱ</v>
      </c>
      <c r="L35" s="291">
        <v>21</v>
      </c>
      <c r="M35" s="288"/>
      <c r="N35" s="292" t="str">
        <f t="shared" si="5"/>
        <v/>
      </c>
      <c r="O35" s="293">
        <v>170300</v>
      </c>
      <c r="P35" s="294">
        <v>33000</v>
      </c>
      <c r="Q35" s="294">
        <v>0</v>
      </c>
      <c r="R35" s="294">
        <v>0</v>
      </c>
      <c r="S35" s="294">
        <v>7000</v>
      </c>
      <c r="T35" s="294">
        <v>0</v>
      </c>
      <c r="U35" s="294">
        <v>0</v>
      </c>
      <c r="V35" s="295">
        <f t="shared" si="1"/>
        <v>210300</v>
      </c>
      <c r="W35" s="296">
        <v>300</v>
      </c>
      <c r="X35" s="297" t="s">
        <v>446</v>
      </c>
      <c r="Y35" s="298"/>
      <c r="Z35" s="272"/>
      <c r="AA35" s="299">
        <v>0</v>
      </c>
      <c r="AB35" s="272"/>
      <c r="AC35" s="300" t="str">
        <f t="shared" ca="1" si="2"/>
        <v>25歳1ヶ月</v>
      </c>
      <c r="AD35" s="300" t="str">
        <f t="shared" ca="1" si="6"/>
        <v>3年1ヶ月</v>
      </c>
      <c r="AE35" s="368"/>
      <c r="AF35" s="369"/>
      <c r="AG35" s="190"/>
      <c r="AH35" s="194"/>
      <c r="AI35" s="192"/>
      <c r="AJ35" s="190"/>
      <c r="AK35" s="190"/>
      <c r="AL35" s="196"/>
      <c r="AM35" s="198"/>
      <c r="AN35" s="190"/>
      <c r="AO35" s="190"/>
      <c r="AP35" s="200"/>
    </row>
    <row r="36" spans="1:42" ht="15" customHeight="1" x14ac:dyDescent="0.15">
      <c r="A36" s="272"/>
      <c r="B36" s="285" t="s">
        <v>343</v>
      </c>
      <c r="C36" s="286" t="s">
        <v>362</v>
      </c>
      <c r="D36" s="287" t="s">
        <v>425</v>
      </c>
      <c r="E36" s="288" t="s">
        <v>443</v>
      </c>
      <c r="F36" s="289" t="str">
        <f t="shared" si="3"/>
        <v>女</v>
      </c>
      <c r="G36" s="290">
        <v>26571</v>
      </c>
      <c r="H36" s="364">
        <v>42401</v>
      </c>
      <c r="I36" s="291" t="s">
        <v>426</v>
      </c>
      <c r="J36" s="288" t="s">
        <v>112</v>
      </c>
      <c r="K36" s="289" t="str">
        <f t="shared" si="4"/>
        <v>Ⅱ</v>
      </c>
      <c r="L36" s="291">
        <v>20</v>
      </c>
      <c r="M36" s="288"/>
      <c r="N36" s="292" t="str">
        <f t="shared" si="5"/>
        <v/>
      </c>
      <c r="O36" s="293">
        <v>168870</v>
      </c>
      <c r="P36" s="294">
        <v>32830</v>
      </c>
      <c r="Q36" s="294">
        <v>0</v>
      </c>
      <c r="R36" s="294">
        <v>17000</v>
      </c>
      <c r="S36" s="294">
        <v>8000</v>
      </c>
      <c r="T36" s="294">
        <v>0</v>
      </c>
      <c r="U36" s="294">
        <v>0</v>
      </c>
      <c r="V36" s="295">
        <f t="shared" si="1"/>
        <v>226700</v>
      </c>
      <c r="W36" s="296">
        <v>500</v>
      </c>
      <c r="X36" s="297" t="s">
        <v>446</v>
      </c>
      <c r="Y36" s="298"/>
      <c r="Z36" s="272"/>
      <c r="AA36" s="299">
        <v>0</v>
      </c>
      <c r="AB36" s="272"/>
      <c r="AC36" s="300" t="str">
        <f t="shared" ca="1" si="2"/>
        <v>49歳9ヶ月</v>
      </c>
      <c r="AD36" s="300" t="str">
        <f t="shared" ca="1" si="6"/>
        <v>6年4ヶ月</v>
      </c>
      <c r="AE36" s="368"/>
      <c r="AF36" s="369"/>
      <c r="AG36" s="190"/>
      <c r="AH36" s="194"/>
      <c r="AI36" s="192"/>
      <c r="AJ36" s="190"/>
      <c r="AK36" s="190"/>
      <c r="AL36" s="196"/>
      <c r="AM36" s="198"/>
      <c r="AN36" s="190"/>
      <c r="AO36" s="190"/>
      <c r="AP36" s="200"/>
    </row>
    <row r="37" spans="1:42" ht="15" customHeight="1" x14ac:dyDescent="0.15">
      <c r="A37" s="272"/>
      <c r="B37" s="285" t="s">
        <v>343</v>
      </c>
      <c r="C37" s="286" t="s">
        <v>372</v>
      </c>
      <c r="D37" s="287" t="s">
        <v>427</v>
      </c>
      <c r="E37" s="288" t="s">
        <v>442</v>
      </c>
      <c r="F37" s="289" t="str">
        <f t="shared" si="3"/>
        <v>男</v>
      </c>
      <c r="G37" s="290">
        <v>27208</v>
      </c>
      <c r="H37" s="364">
        <v>43846</v>
      </c>
      <c r="I37" s="291" t="s">
        <v>0</v>
      </c>
      <c r="J37" s="288" t="s">
        <v>112</v>
      </c>
      <c r="K37" s="289" t="str">
        <f t="shared" si="4"/>
        <v>Ⅱ</v>
      </c>
      <c r="L37" s="291">
        <v>18</v>
      </c>
      <c r="M37" s="288"/>
      <c r="N37" s="292" t="str">
        <f t="shared" si="5"/>
        <v/>
      </c>
      <c r="O37" s="293">
        <v>166010</v>
      </c>
      <c r="P37" s="294">
        <v>32590</v>
      </c>
      <c r="Q37" s="294">
        <v>0</v>
      </c>
      <c r="R37" s="294">
        <v>0</v>
      </c>
      <c r="S37" s="294">
        <v>15000</v>
      </c>
      <c r="T37" s="294">
        <v>0</v>
      </c>
      <c r="U37" s="294">
        <v>0</v>
      </c>
      <c r="V37" s="295">
        <f t="shared" si="1"/>
        <v>213600</v>
      </c>
      <c r="W37" s="296">
        <v>300</v>
      </c>
      <c r="X37" s="297" t="s">
        <v>448</v>
      </c>
      <c r="Y37" s="298"/>
      <c r="Z37" s="272"/>
      <c r="AA37" s="299">
        <v>0</v>
      </c>
      <c r="AB37" s="272"/>
      <c r="AC37" s="300" t="str">
        <f t="shared" ca="1" si="2"/>
        <v>48歳0ヶ月</v>
      </c>
      <c r="AD37" s="300" t="str">
        <f t="shared" ca="1" si="6"/>
        <v>2年5ヶ月</v>
      </c>
      <c r="AE37" s="368"/>
      <c r="AF37" s="369"/>
      <c r="AG37" s="190"/>
      <c r="AH37" s="194"/>
      <c r="AI37" s="192"/>
      <c r="AJ37" s="190"/>
      <c r="AK37" s="190"/>
      <c r="AL37" s="196"/>
      <c r="AM37" s="198"/>
      <c r="AN37" s="190"/>
      <c r="AO37" s="190"/>
      <c r="AP37" s="200"/>
    </row>
    <row r="38" spans="1:42" ht="15" customHeight="1" x14ac:dyDescent="0.15">
      <c r="A38" s="272"/>
      <c r="B38" s="373" t="s">
        <v>343</v>
      </c>
      <c r="C38" s="374" t="s">
        <v>451</v>
      </c>
      <c r="D38" s="375" t="s">
        <v>452</v>
      </c>
      <c r="E38" s="376" t="s">
        <v>442</v>
      </c>
      <c r="F38" s="377" t="str">
        <f t="shared" si="3"/>
        <v>男</v>
      </c>
      <c r="G38" s="378">
        <v>32851</v>
      </c>
      <c r="H38" s="379">
        <v>44728</v>
      </c>
      <c r="I38" s="380" t="s">
        <v>0</v>
      </c>
      <c r="J38" s="376" t="s">
        <v>112</v>
      </c>
      <c r="K38" s="377" t="str">
        <f t="shared" si="4"/>
        <v>Ⅱ</v>
      </c>
      <c r="L38" s="380">
        <v>13</v>
      </c>
      <c r="M38" s="376"/>
      <c r="N38" s="381" t="str">
        <f t="shared" si="5"/>
        <v/>
      </c>
      <c r="O38" s="382">
        <v>158860</v>
      </c>
      <c r="P38" s="383">
        <v>31840</v>
      </c>
      <c r="Q38" s="383">
        <v>0</v>
      </c>
      <c r="R38" s="383">
        <v>0</v>
      </c>
      <c r="S38" s="383">
        <v>0</v>
      </c>
      <c r="T38" s="383">
        <v>0</v>
      </c>
      <c r="U38" s="383">
        <v>0</v>
      </c>
      <c r="V38" s="384">
        <f t="shared" si="1"/>
        <v>190700</v>
      </c>
      <c r="W38" s="385">
        <v>500</v>
      </c>
      <c r="X38" s="386" t="s">
        <v>450</v>
      </c>
      <c r="Y38" s="387"/>
      <c r="Z38" s="388"/>
      <c r="AA38" s="389">
        <v>0</v>
      </c>
      <c r="AB38" s="388"/>
      <c r="AC38" s="390" t="str">
        <f t="shared" ca="1" si="2"/>
        <v>32歳6ヶ月</v>
      </c>
      <c r="AD38" s="390" t="str">
        <f t="shared" ca="1" si="6"/>
        <v>0年0ヶ月</v>
      </c>
      <c r="AE38" s="391"/>
      <c r="AF38" s="392"/>
      <c r="AG38" s="190"/>
      <c r="AH38" s="194"/>
      <c r="AI38" s="192"/>
      <c r="AJ38" s="190"/>
      <c r="AK38" s="190"/>
      <c r="AL38" s="196"/>
      <c r="AM38" s="198"/>
      <c r="AN38" s="190"/>
      <c r="AO38" s="190"/>
      <c r="AP38" s="200"/>
    </row>
    <row r="39" spans="1:42" ht="15" customHeight="1" x14ac:dyDescent="0.15">
      <c r="A39" s="272"/>
      <c r="B39" s="285" t="s">
        <v>343</v>
      </c>
      <c r="C39" s="286" t="s">
        <v>375</v>
      </c>
      <c r="D39" s="287" t="s">
        <v>428</v>
      </c>
      <c r="E39" s="288" t="s">
        <v>442</v>
      </c>
      <c r="F39" s="289" t="str">
        <f t="shared" si="3"/>
        <v>男</v>
      </c>
      <c r="G39" s="290">
        <v>31755</v>
      </c>
      <c r="H39" s="364">
        <v>44333</v>
      </c>
      <c r="I39" s="291" t="s">
        <v>0</v>
      </c>
      <c r="J39" s="288" t="s">
        <v>112</v>
      </c>
      <c r="K39" s="289" t="str">
        <f t="shared" si="4"/>
        <v>Ⅱ</v>
      </c>
      <c r="L39" s="291">
        <v>11</v>
      </c>
      <c r="M39" s="288"/>
      <c r="N39" s="292" t="str">
        <f t="shared" si="5"/>
        <v/>
      </c>
      <c r="O39" s="293">
        <v>156000</v>
      </c>
      <c r="P39" s="294">
        <v>31500</v>
      </c>
      <c r="Q39" s="294">
        <v>0</v>
      </c>
      <c r="R39" s="294">
        <v>26000</v>
      </c>
      <c r="S39" s="294">
        <v>15000</v>
      </c>
      <c r="T39" s="294">
        <v>0</v>
      </c>
      <c r="U39" s="294">
        <v>0</v>
      </c>
      <c r="V39" s="295">
        <f t="shared" si="1"/>
        <v>228500</v>
      </c>
      <c r="W39" s="296">
        <v>300</v>
      </c>
      <c r="X39" s="297" t="s">
        <v>450</v>
      </c>
      <c r="Y39" s="298"/>
      <c r="Z39" s="272"/>
      <c r="AA39" s="299">
        <v>0</v>
      </c>
      <c r="AB39" s="272"/>
      <c r="AC39" s="300" t="str">
        <f t="shared" ca="1" si="2"/>
        <v>35歳6ヶ月</v>
      </c>
      <c r="AD39" s="300" t="str">
        <f t="shared" ca="1" si="6"/>
        <v>1年1ヶ月</v>
      </c>
      <c r="AE39" s="368"/>
      <c r="AF39" s="369"/>
      <c r="AG39" s="190"/>
      <c r="AH39" s="194"/>
      <c r="AI39" s="192"/>
      <c r="AJ39" s="190"/>
      <c r="AK39" s="190"/>
      <c r="AL39" s="196"/>
      <c r="AM39" s="198"/>
      <c r="AN39" s="190"/>
      <c r="AO39" s="190"/>
      <c r="AP39" s="200"/>
    </row>
    <row r="40" spans="1:42" ht="15" customHeight="1" x14ac:dyDescent="0.15">
      <c r="A40" s="272"/>
      <c r="B40" s="285" t="s">
        <v>343</v>
      </c>
      <c r="C40" s="286" t="s">
        <v>377</v>
      </c>
      <c r="D40" s="287" t="s">
        <v>429</v>
      </c>
      <c r="E40" s="288" t="s">
        <v>442</v>
      </c>
      <c r="F40" s="289" t="str">
        <f t="shared" si="3"/>
        <v>男</v>
      </c>
      <c r="G40" s="290">
        <v>28152</v>
      </c>
      <c r="H40" s="364">
        <v>42403</v>
      </c>
      <c r="I40" s="291" t="s">
        <v>0</v>
      </c>
      <c r="J40" s="288" t="s">
        <v>233</v>
      </c>
      <c r="K40" s="289" t="str">
        <f t="shared" si="4"/>
        <v>Ⅰ</v>
      </c>
      <c r="L40" s="291">
        <v>51</v>
      </c>
      <c r="M40" s="288"/>
      <c r="N40" s="292" t="str">
        <f t="shared" si="5"/>
        <v/>
      </c>
      <c r="O40" s="293">
        <v>177000</v>
      </c>
      <c r="P40" s="294">
        <v>33700</v>
      </c>
      <c r="Q40" s="294">
        <v>0</v>
      </c>
      <c r="R40" s="294">
        <v>0</v>
      </c>
      <c r="S40" s="294">
        <v>7000</v>
      </c>
      <c r="T40" s="294">
        <v>0</v>
      </c>
      <c r="U40" s="294">
        <v>0</v>
      </c>
      <c r="V40" s="295">
        <f t="shared" si="1"/>
        <v>217700</v>
      </c>
      <c r="W40" s="296">
        <v>500</v>
      </c>
      <c r="X40" s="297" t="s">
        <v>446</v>
      </c>
      <c r="Y40" s="298"/>
      <c r="Z40" s="272"/>
      <c r="AA40" s="299">
        <v>0</v>
      </c>
      <c r="AB40" s="272"/>
      <c r="AC40" s="300" t="str">
        <f t="shared" ca="1" si="2"/>
        <v>45歳5ヶ月</v>
      </c>
      <c r="AD40" s="300" t="str">
        <f t="shared" ca="1" si="6"/>
        <v>6年4ヶ月</v>
      </c>
      <c r="AE40" s="368"/>
      <c r="AF40" s="369"/>
      <c r="AG40" s="190"/>
      <c r="AH40" s="194"/>
      <c r="AI40" s="192"/>
      <c r="AJ40" s="190"/>
      <c r="AK40" s="190"/>
      <c r="AL40" s="196"/>
      <c r="AM40" s="198"/>
      <c r="AN40" s="190"/>
      <c r="AO40" s="190"/>
      <c r="AP40" s="200"/>
    </row>
    <row r="41" spans="1:42" ht="15" customHeight="1" x14ac:dyDescent="0.15">
      <c r="A41" s="272"/>
      <c r="B41" s="285" t="s">
        <v>343</v>
      </c>
      <c r="C41" s="286" t="s">
        <v>378</v>
      </c>
      <c r="D41" s="287" t="s">
        <v>430</v>
      </c>
      <c r="E41" s="288" t="s">
        <v>443</v>
      </c>
      <c r="F41" s="289" t="str">
        <f t="shared" si="3"/>
        <v>女</v>
      </c>
      <c r="G41" s="290">
        <v>29497</v>
      </c>
      <c r="H41" s="364">
        <v>42863</v>
      </c>
      <c r="I41" s="291" t="s">
        <v>0</v>
      </c>
      <c r="J41" s="288" t="s">
        <v>233</v>
      </c>
      <c r="K41" s="289" t="str">
        <f t="shared" si="4"/>
        <v>Ⅰ</v>
      </c>
      <c r="L41" s="291">
        <v>48</v>
      </c>
      <c r="M41" s="288"/>
      <c r="N41" s="292" t="str">
        <f>管理職区判定(I41,M41,O41,AA41)</f>
        <v/>
      </c>
      <c r="O41" s="293">
        <v>173580</v>
      </c>
      <c r="P41" s="294">
        <v>33320</v>
      </c>
      <c r="Q41" s="294">
        <v>0</v>
      </c>
      <c r="R41" s="294">
        <v>0</v>
      </c>
      <c r="S41" s="294">
        <v>7000</v>
      </c>
      <c r="T41" s="294">
        <v>0</v>
      </c>
      <c r="U41" s="294">
        <v>0</v>
      </c>
      <c r="V41" s="295">
        <f t="shared" si="1"/>
        <v>213900</v>
      </c>
      <c r="W41" s="296">
        <v>300</v>
      </c>
      <c r="X41" s="297" t="s">
        <v>446</v>
      </c>
      <c r="Y41" s="298"/>
      <c r="Z41" s="272"/>
      <c r="AA41" s="299">
        <v>0</v>
      </c>
      <c r="AB41" s="272"/>
      <c r="AC41" s="300" t="str">
        <f t="shared" ca="1" si="2"/>
        <v>41歳8ヶ月</v>
      </c>
      <c r="AD41" s="300" t="str">
        <f t="shared" ca="1" si="6"/>
        <v>5年1ヶ月</v>
      </c>
      <c r="AE41" s="368"/>
      <c r="AF41" s="369"/>
      <c r="AG41" s="190"/>
      <c r="AH41" s="194"/>
      <c r="AI41" s="192"/>
      <c r="AJ41" s="190"/>
      <c r="AK41" s="190"/>
      <c r="AL41" s="196"/>
      <c r="AM41" s="198"/>
      <c r="AN41" s="190"/>
      <c r="AO41" s="190"/>
      <c r="AP41" s="200"/>
    </row>
    <row r="42" spans="1:42" ht="15" customHeight="1" x14ac:dyDescent="0.15">
      <c r="A42" s="272"/>
      <c r="B42" s="285" t="s">
        <v>343</v>
      </c>
      <c r="C42" s="286" t="s">
        <v>379</v>
      </c>
      <c r="D42" s="287" t="s">
        <v>431</v>
      </c>
      <c r="E42" s="288" t="s">
        <v>442</v>
      </c>
      <c r="F42" s="289" t="str">
        <f t="shared" si="3"/>
        <v>男</v>
      </c>
      <c r="G42" s="290">
        <v>31580</v>
      </c>
      <c r="H42" s="364">
        <v>44287</v>
      </c>
      <c r="I42" s="291" t="s">
        <v>0</v>
      </c>
      <c r="J42" s="288" t="s">
        <v>233</v>
      </c>
      <c r="K42" s="289" t="str">
        <f t="shared" si="4"/>
        <v>Ⅰ</v>
      </c>
      <c r="L42" s="291">
        <v>44</v>
      </c>
      <c r="M42" s="288"/>
      <c r="N42" s="292" t="str">
        <f t="shared" si="5"/>
        <v/>
      </c>
      <c r="O42" s="293">
        <v>169020</v>
      </c>
      <c r="P42" s="294">
        <v>32880</v>
      </c>
      <c r="Q42" s="294">
        <v>0</v>
      </c>
      <c r="R42" s="294">
        <v>0</v>
      </c>
      <c r="S42" s="294">
        <v>7000</v>
      </c>
      <c r="T42" s="294">
        <v>0</v>
      </c>
      <c r="U42" s="294">
        <v>0</v>
      </c>
      <c r="V42" s="295">
        <f t="shared" si="1"/>
        <v>208900</v>
      </c>
      <c r="W42" s="296">
        <v>300</v>
      </c>
      <c r="X42" s="297" t="s">
        <v>446</v>
      </c>
      <c r="Y42" s="298"/>
      <c r="Z42" s="272"/>
      <c r="AA42" s="299">
        <v>0</v>
      </c>
      <c r="AB42" s="272"/>
      <c r="AC42" s="300" t="str">
        <f t="shared" ca="1" si="2"/>
        <v>36歳0ヶ月</v>
      </c>
      <c r="AD42" s="300" t="str">
        <f t="shared" ca="1" si="6"/>
        <v>1年2ヶ月</v>
      </c>
      <c r="AE42" s="368"/>
      <c r="AF42" s="369"/>
      <c r="AG42" s="190"/>
      <c r="AH42" s="194"/>
      <c r="AI42" s="192"/>
      <c r="AJ42" s="190"/>
      <c r="AK42" s="190"/>
      <c r="AL42" s="196"/>
      <c r="AM42" s="198"/>
      <c r="AN42" s="190"/>
      <c r="AO42" s="190"/>
      <c r="AP42" s="200"/>
    </row>
    <row r="43" spans="1:42" ht="15" customHeight="1" x14ac:dyDescent="0.15">
      <c r="A43" s="272"/>
      <c r="B43" s="285" t="s">
        <v>343</v>
      </c>
      <c r="C43" s="286" t="s">
        <v>376</v>
      </c>
      <c r="D43" s="287" t="s">
        <v>432</v>
      </c>
      <c r="E43" s="288" t="s">
        <v>442</v>
      </c>
      <c r="F43" s="289" t="str">
        <f t="shared" si="3"/>
        <v>男</v>
      </c>
      <c r="G43" s="290">
        <v>33889</v>
      </c>
      <c r="H43" s="364">
        <v>41372</v>
      </c>
      <c r="I43" s="291" t="s">
        <v>0</v>
      </c>
      <c r="J43" s="288" t="s">
        <v>233</v>
      </c>
      <c r="K43" s="289" t="str">
        <f t="shared" si="4"/>
        <v>Ⅰ</v>
      </c>
      <c r="L43" s="291">
        <v>30</v>
      </c>
      <c r="M43" s="288"/>
      <c r="N43" s="292" t="str">
        <f t="shared" si="5"/>
        <v/>
      </c>
      <c r="O43" s="293">
        <v>153060</v>
      </c>
      <c r="P43" s="294">
        <v>31240</v>
      </c>
      <c r="Q43" s="294">
        <v>0</v>
      </c>
      <c r="R43" s="294">
        <v>0</v>
      </c>
      <c r="S43" s="294">
        <v>7000</v>
      </c>
      <c r="T43" s="294">
        <v>0</v>
      </c>
      <c r="U43" s="294">
        <v>0</v>
      </c>
      <c r="V43" s="295">
        <f t="shared" si="1"/>
        <v>191300</v>
      </c>
      <c r="W43" s="296">
        <v>500</v>
      </c>
      <c r="X43" s="297" t="s">
        <v>446</v>
      </c>
      <c r="Y43" s="298"/>
      <c r="Z43" s="272"/>
      <c r="AA43" s="299">
        <v>0</v>
      </c>
      <c r="AB43" s="272"/>
      <c r="AC43" s="300" t="str">
        <f t="shared" ca="1" si="2"/>
        <v>29歳8ヶ月</v>
      </c>
      <c r="AD43" s="300" t="str">
        <f t="shared" ca="1" si="6"/>
        <v>9年2ヶ月</v>
      </c>
      <c r="AE43" s="368"/>
      <c r="AF43" s="369"/>
      <c r="AG43" s="190"/>
      <c r="AH43" s="194"/>
      <c r="AI43" s="192"/>
      <c r="AJ43" s="190"/>
      <c r="AK43" s="190"/>
      <c r="AL43" s="196"/>
      <c r="AM43" s="198"/>
      <c r="AN43" s="190"/>
      <c r="AO43" s="190"/>
      <c r="AP43" s="200"/>
    </row>
    <row r="44" spans="1:42" ht="15" customHeight="1" x14ac:dyDescent="0.15">
      <c r="A44" s="272"/>
      <c r="B44" s="285" t="s">
        <v>343</v>
      </c>
      <c r="C44" s="286" t="s">
        <v>380</v>
      </c>
      <c r="D44" s="287" t="s">
        <v>433</v>
      </c>
      <c r="E44" s="288" t="s">
        <v>443</v>
      </c>
      <c r="F44" s="289" t="str">
        <f t="shared" si="3"/>
        <v>女</v>
      </c>
      <c r="G44" s="290">
        <v>23662</v>
      </c>
      <c r="H44" s="364">
        <v>35366</v>
      </c>
      <c r="I44" s="291" t="s">
        <v>336</v>
      </c>
      <c r="J44" s="288" t="s">
        <v>233</v>
      </c>
      <c r="K44" s="289" t="str">
        <f t="shared" si="4"/>
        <v>Ⅰ</v>
      </c>
      <c r="L44" s="291">
        <v>0</v>
      </c>
      <c r="M44" s="288"/>
      <c r="N44" s="292" t="str">
        <f t="shared" si="5"/>
        <v xml:space="preserve">@\1,120 </v>
      </c>
      <c r="O44" s="293">
        <v>168000</v>
      </c>
      <c r="P44" s="294">
        <v>0</v>
      </c>
      <c r="Q44" s="294">
        <v>0</v>
      </c>
      <c r="R44" s="294">
        <v>0</v>
      </c>
      <c r="S44" s="294">
        <v>0</v>
      </c>
      <c r="T44" s="294">
        <v>0</v>
      </c>
      <c r="U44" s="294">
        <v>0</v>
      </c>
      <c r="V44" s="295">
        <f t="shared" si="1"/>
        <v>168000</v>
      </c>
      <c r="W44" s="296">
        <v>500</v>
      </c>
      <c r="X44" s="297" t="s">
        <v>446</v>
      </c>
      <c r="Y44" s="298"/>
      <c r="Z44" s="272"/>
      <c r="AA44" s="299">
        <v>150</v>
      </c>
      <c r="AB44" s="272"/>
      <c r="AC44" s="300" t="str">
        <f t="shared" ca="1" si="2"/>
        <v>57歳8ヶ月</v>
      </c>
      <c r="AD44" s="300" t="str">
        <f t="shared" ca="1" si="6"/>
        <v>25年8ヶ月</v>
      </c>
      <c r="AE44" s="368"/>
      <c r="AF44" s="369"/>
      <c r="AG44" s="190"/>
      <c r="AH44" s="194"/>
      <c r="AI44" s="192"/>
      <c r="AJ44" s="190"/>
      <c r="AK44" s="190"/>
      <c r="AL44" s="196"/>
      <c r="AM44" s="198"/>
      <c r="AN44" s="190"/>
      <c r="AO44" s="190"/>
      <c r="AP44" s="200"/>
    </row>
    <row r="45" spans="1:42" ht="15" customHeight="1" x14ac:dyDescent="0.15">
      <c r="A45" s="272"/>
      <c r="B45" s="285" t="s">
        <v>343</v>
      </c>
      <c r="C45" s="286" t="s">
        <v>381</v>
      </c>
      <c r="D45" s="287" t="s">
        <v>434</v>
      </c>
      <c r="E45" s="288" t="s">
        <v>442</v>
      </c>
      <c r="F45" s="289" t="str">
        <f t="shared" si="3"/>
        <v>男</v>
      </c>
      <c r="G45" s="290">
        <v>19116</v>
      </c>
      <c r="H45" s="364">
        <v>37656</v>
      </c>
      <c r="I45" s="291" t="s">
        <v>336</v>
      </c>
      <c r="J45" s="288" t="s">
        <v>233</v>
      </c>
      <c r="K45" s="289" t="str">
        <f t="shared" si="4"/>
        <v>Ⅰ</v>
      </c>
      <c r="L45" s="291"/>
      <c r="M45" s="288"/>
      <c r="N45" s="292" t="str">
        <f t="shared" si="5"/>
        <v xml:space="preserve">@\1,050 </v>
      </c>
      <c r="O45" s="293">
        <v>157500</v>
      </c>
      <c r="P45" s="294">
        <v>0</v>
      </c>
      <c r="Q45" s="294">
        <v>0</v>
      </c>
      <c r="R45" s="294">
        <v>0</v>
      </c>
      <c r="S45" s="294">
        <v>0</v>
      </c>
      <c r="T45" s="294">
        <v>0</v>
      </c>
      <c r="U45" s="294">
        <v>0</v>
      </c>
      <c r="V45" s="295">
        <f t="shared" si="1"/>
        <v>157500</v>
      </c>
      <c r="W45" s="296">
        <v>500</v>
      </c>
      <c r="X45" s="297" t="s">
        <v>446</v>
      </c>
      <c r="Y45" s="298"/>
      <c r="Z45" s="272"/>
      <c r="AA45" s="299">
        <v>150</v>
      </c>
      <c r="AB45" s="272"/>
      <c r="AC45" s="300" t="str">
        <f t="shared" ca="1" si="2"/>
        <v>70歳1ヶ月</v>
      </c>
      <c r="AD45" s="300" t="str">
        <f t="shared" ca="1" si="6"/>
        <v>19年4ヶ月</v>
      </c>
      <c r="AE45" s="368"/>
      <c r="AF45" s="369"/>
      <c r="AG45" s="190"/>
      <c r="AH45" s="194"/>
      <c r="AI45" s="192"/>
      <c r="AJ45" s="190"/>
      <c r="AK45" s="190"/>
      <c r="AL45" s="196"/>
      <c r="AM45" s="198"/>
      <c r="AN45" s="190"/>
      <c r="AO45" s="190"/>
      <c r="AP45" s="200"/>
    </row>
    <row r="46" spans="1:42" ht="15" customHeight="1" x14ac:dyDescent="0.15">
      <c r="A46" s="272"/>
      <c r="B46" s="285" t="s">
        <v>343</v>
      </c>
      <c r="C46" s="286" t="s">
        <v>382</v>
      </c>
      <c r="D46" s="287" t="s">
        <v>435</v>
      </c>
      <c r="E46" s="288" t="s">
        <v>442</v>
      </c>
      <c r="F46" s="289" t="str">
        <f t="shared" si="3"/>
        <v>男</v>
      </c>
      <c r="G46" s="290">
        <v>34487</v>
      </c>
      <c r="H46" s="364">
        <v>41575</v>
      </c>
      <c r="I46" s="291" t="s">
        <v>336</v>
      </c>
      <c r="J46" s="288" t="s">
        <v>233</v>
      </c>
      <c r="K46" s="289" t="str">
        <f t="shared" si="4"/>
        <v>Ⅰ</v>
      </c>
      <c r="L46" s="291"/>
      <c r="M46" s="288"/>
      <c r="N46" s="292" t="str">
        <f t="shared" si="5"/>
        <v xml:space="preserve">@\1,040 </v>
      </c>
      <c r="O46" s="293">
        <v>156000</v>
      </c>
      <c r="P46" s="294">
        <v>0</v>
      </c>
      <c r="Q46" s="294">
        <v>0</v>
      </c>
      <c r="R46" s="294">
        <v>0</v>
      </c>
      <c r="S46" s="294">
        <v>0</v>
      </c>
      <c r="T46" s="294">
        <v>0</v>
      </c>
      <c r="U46" s="294">
        <v>0</v>
      </c>
      <c r="V46" s="295">
        <f t="shared" si="1"/>
        <v>156000</v>
      </c>
      <c r="W46" s="296">
        <v>500</v>
      </c>
      <c r="X46" s="297" t="s">
        <v>450</v>
      </c>
      <c r="Y46" s="298"/>
      <c r="Z46" s="272"/>
      <c r="AA46" s="299">
        <v>150</v>
      </c>
      <c r="AB46" s="272"/>
      <c r="AC46" s="300" t="str">
        <f t="shared" ca="1" si="2"/>
        <v>28歳0ヶ月</v>
      </c>
      <c r="AD46" s="300" t="str">
        <f t="shared" ca="1" si="6"/>
        <v>8年8ヶ月</v>
      </c>
      <c r="AE46" s="368"/>
      <c r="AF46" s="369"/>
      <c r="AG46" s="190"/>
      <c r="AH46" s="194"/>
      <c r="AI46" s="192"/>
      <c r="AJ46" s="190"/>
      <c r="AK46" s="190"/>
      <c r="AL46" s="196"/>
      <c r="AM46" s="198"/>
      <c r="AN46" s="190"/>
      <c r="AO46" s="190"/>
      <c r="AP46" s="200"/>
    </row>
    <row r="47" spans="1:42" ht="15" customHeight="1" x14ac:dyDescent="0.15">
      <c r="A47" s="272"/>
      <c r="B47" s="285" t="s">
        <v>343</v>
      </c>
      <c r="C47" s="286" t="s">
        <v>383</v>
      </c>
      <c r="D47" s="287" t="s">
        <v>436</v>
      </c>
      <c r="E47" s="288" t="s">
        <v>442</v>
      </c>
      <c r="F47" s="289" t="str">
        <f t="shared" si="3"/>
        <v>男</v>
      </c>
      <c r="G47" s="290">
        <v>18511</v>
      </c>
      <c r="H47" s="364">
        <v>42702</v>
      </c>
      <c r="I47" s="291" t="s">
        <v>336</v>
      </c>
      <c r="J47" s="288" t="s">
        <v>233</v>
      </c>
      <c r="K47" s="289" t="str">
        <f t="shared" si="4"/>
        <v>Ⅰ</v>
      </c>
      <c r="L47" s="291"/>
      <c r="M47" s="288"/>
      <c r="N47" s="292" t="str">
        <f>管理職区判定(I47,M47,O47,AA47)</f>
        <v xml:space="preserve">@\1,040 </v>
      </c>
      <c r="O47" s="293">
        <v>156000</v>
      </c>
      <c r="P47" s="294">
        <v>0</v>
      </c>
      <c r="Q47" s="294">
        <v>0</v>
      </c>
      <c r="R47" s="294">
        <v>0</v>
      </c>
      <c r="S47" s="294">
        <v>0</v>
      </c>
      <c r="T47" s="294">
        <v>0</v>
      </c>
      <c r="U47" s="294">
        <v>0</v>
      </c>
      <c r="V47" s="295">
        <f t="shared" si="1"/>
        <v>156000</v>
      </c>
      <c r="W47" s="296">
        <v>500</v>
      </c>
      <c r="X47" s="297" t="s">
        <v>450</v>
      </c>
      <c r="Y47" s="298"/>
      <c r="Z47" s="272"/>
      <c r="AA47" s="299">
        <v>150</v>
      </c>
      <c r="AB47" s="272"/>
      <c r="AC47" s="300" t="str">
        <f t="shared" ca="1" si="2"/>
        <v>71歳9ヶ月</v>
      </c>
      <c r="AD47" s="300" t="str">
        <f t="shared" ca="1" si="6"/>
        <v>5年7ヶ月</v>
      </c>
      <c r="AE47" s="368"/>
      <c r="AF47" s="369"/>
      <c r="AG47" s="190"/>
      <c r="AH47" s="194"/>
      <c r="AI47" s="192"/>
      <c r="AJ47" s="190"/>
      <c r="AK47" s="190"/>
      <c r="AL47" s="196"/>
      <c r="AM47" s="198"/>
      <c r="AN47" s="190"/>
      <c r="AO47" s="190"/>
      <c r="AP47" s="200"/>
    </row>
    <row r="48" spans="1:42" ht="15" customHeight="1" x14ac:dyDescent="0.15">
      <c r="A48" s="272"/>
      <c r="B48" s="285" t="s">
        <v>343</v>
      </c>
      <c r="C48" s="286" t="s">
        <v>384</v>
      </c>
      <c r="D48" s="287" t="s">
        <v>437</v>
      </c>
      <c r="E48" s="288" t="s">
        <v>442</v>
      </c>
      <c r="F48" s="289" t="str">
        <f t="shared" si="3"/>
        <v>男</v>
      </c>
      <c r="G48" s="290">
        <v>30119</v>
      </c>
      <c r="H48" s="364">
        <v>43435</v>
      </c>
      <c r="I48" s="291" t="s">
        <v>336</v>
      </c>
      <c r="J48" s="288" t="s">
        <v>233</v>
      </c>
      <c r="K48" s="289" t="str">
        <f t="shared" si="4"/>
        <v>Ⅰ</v>
      </c>
      <c r="L48" s="291"/>
      <c r="M48" s="288"/>
      <c r="N48" s="292" t="str">
        <f t="shared" si="5"/>
        <v xml:space="preserve">@\1,000 </v>
      </c>
      <c r="O48" s="293">
        <v>150000</v>
      </c>
      <c r="P48" s="294">
        <v>0</v>
      </c>
      <c r="Q48" s="294">
        <v>0</v>
      </c>
      <c r="R48" s="294">
        <v>0</v>
      </c>
      <c r="S48" s="294">
        <v>0</v>
      </c>
      <c r="T48" s="294">
        <v>0</v>
      </c>
      <c r="U48" s="294">
        <v>0</v>
      </c>
      <c r="V48" s="295">
        <f t="shared" si="1"/>
        <v>150000</v>
      </c>
      <c r="W48" s="296">
        <v>500</v>
      </c>
      <c r="X48" s="297" t="s">
        <v>448</v>
      </c>
      <c r="Y48" s="298"/>
      <c r="Z48" s="272"/>
      <c r="AA48" s="299">
        <v>150</v>
      </c>
      <c r="AB48" s="272"/>
      <c r="AC48" s="300" t="str">
        <f t="shared" ca="1" si="2"/>
        <v>40歳0ヶ月</v>
      </c>
      <c r="AD48" s="300" t="str">
        <f t="shared" ca="1" si="6"/>
        <v>3年6ヶ月</v>
      </c>
      <c r="AE48" s="368"/>
      <c r="AF48" s="369"/>
      <c r="AG48" s="190"/>
      <c r="AH48" s="194"/>
      <c r="AI48" s="192"/>
      <c r="AJ48" s="190"/>
      <c r="AK48" s="190"/>
      <c r="AL48" s="196"/>
      <c r="AM48" s="198"/>
      <c r="AN48" s="190"/>
      <c r="AO48" s="190"/>
      <c r="AP48" s="200"/>
    </row>
    <row r="49" spans="1:42" ht="15" customHeight="1" x14ac:dyDescent="0.15">
      <c r="A49" s="272"/>
      <c r="B49" s="285" t="s">
        <v>343</v>
      </c>
      <c r="C49" s="286" t="s">
        <v>385</v>
      </c>
      <c r="D49" s="287" t="s">
        <v>438</v>
      </c>
      <c r="E49" s="288" t="s">
        <v>443</v>
      </c>
      <c r="F49" s="289" t="str">
        <f t="shared" si="3"/>
        <v>女</v>
      </c>
      <c r="G49" s="290">
        <v>33154</v>
      </c>
      <c r="H49" s="364">
        <v>43710</v>
      </c>
      <c r="I49" s="291" t="s">
        <v>336</v>
      </c>
      <c r="J49" s="288" t="s">
        <v>233</v>
      </c>
      <c r="K49" s="289" t="str">
        <f t="shared" si="4"/>
        <v>Ⅰ</v>
      </c>
      <c r="L49" s="291"/>
      <c r="M49" s="288"/>
      <c r="N49" s="292" t="str">
        <f t="shared" si="5"/>
        <v xml:space="preserve">@\1,200 </v>
      </c>
      <c r="O49" s="293">
        <v>180000</v>
      </c>
      <c r="P49" s="294">
        <v>0</v>
      </c>
      <c r="Q49" s="294">
        <v>0</v>
      </c>
      <c r="R49" s="294">
        <v>0</v>
      </c>
      <c r="S49" s="294">
        <v>0</v>
      </c>
      <c r="T49" s="294">
        <v>0</v>
      </c>
      <c r="U49" s="294">
        <v>0</v>
      </c>
      <c r="V49" s="295">
        <f t="shared" si="1"/>
        <v>180000</v>
      </c>
      <c r="W49" s="296">
        <v>300</v>
      </c>
      <c r="X49" s="297" t="s">
        <v>450</v>
      </c>
      <c r="Y49" s="298"/>
      <c r="Z49" s="272"/>
      <c r="AA49" s="299">
        <v>150</v>
      </c>
      <c r="AB49" s="272"/>
      <c r="AC49" s="300" t="str">
        <f t="shared" ca="1" si="2"/>
        <v>31歳8ヶ月</v>
      </c>
      <c r="AD49" s="300" t="str">
        <f t="shared" ca="1" si="6"/>
        <v>2年9ヶ月</v>
      </c>
      <c r="AE49" s="368"/>
      <c r="AF49" s="369"/>
      <c r="AG49" s="190"/>
      <c r="AH49" s="194"/>
      <c r="AI49" s="192"/>
      <c r="AJ49" s="190"/>
      <c r="AK49" s="190"/>
      <c r="AL49" s="196"/>
      <c r="AM49" s="198"/>
      <c r="AN49" s="190"/>
      <c r="AO49" s="190"/>
      <c r="AP49" s="200"/>
    </row>
    <row r="50" spans="1:42" ht="15" customHeight="1" x14ac:dyDescent="0.15">
      <c r="A50" s="272"/>
      <c r="B50" s="285" t="s">
        <v>343</v>
      </c>
      <c r="C50" s="286" t="s">
        <v>386</v>
      </c>
      <c r="D50" s="287" t="s">
        <v>439</v>
      </c>
      <c r="E50" s="288" t="s">
        <v>442</v>
      </c>
      <c r="F50" s="289" t="str">
        <f t="shared" si="3"/>
        <v>男</v>
      </c>
      <c r="G50" s="290">
        <v>20280</v>
      </c>
      <c r="H50" s="364">
        <v>44109</v>
      </c>
      <c r="I50" s="291" t="s">
        <v>336</v>
      </c>
      <c r="J50" s="288" t="s">
        <v>233</v>
      </c>
      <c r="K50" s="289" t="str">
        <f t="shared" si="4"/>
        <v>Ⅰ</v>
      </c>
      <c r="L50" s="291"/>
      <c r="M50" s="288"/>
      <c r="N50" s="292" t="str">
        <f t="shared" si="5"/>
        <v xml:space="preserve">@\882 </v>
      </c>
      <c r="O50" s="293">
        <v>52920</v>
      </c>
      <c r="P50" s="294">
        <v>0</v>
      </c>
      <c r="Q50" s="294">
        <v>0</v>
      </c>
      <c r="R50" s="294">
        <v>0</v>
      </c>
      <c r="S50" s="294">
        <v>0</v>
      </c>
      <c r="T50" s="294">
        <v>0</v>
      </c>
      <c r="U50" s="294">
        <v>0</v>
      </c>
      <c r="V50" s="295">
        <f t="shared" si="1"/>
        <v>52920</v>
      </c>
      <c r="W50" s="296">
        <v>500</v>
      </c>
      <c r="X50" s="297" t="s">
        <v>449</v>
      </c>
      <c r="Y50" s="298"/>
      <c r="Z50" s="272"/>
      <c r="AA50" s="299">
        <v>60</v>
      </c>
      <c r="AB50" s="272"/>
      <c r="AC50" s="300" t="str">
        <f t="shared" ca="1" si="2"/>
        <v>66歳11ヶ月</v>
      </c>
      <c r="AD50" s="300" t="str">
        <f ca="1">IF(H50="","",DATEDIF(H50,$U$4,"Y")&amp;"年"&amp;DATEDIF(H50,$U$4,"YＭ")&amp;"ヶ月")</f>
        <v>1年8ヶ月</v>
      </c>
      <c r="AE50" s="368"/>
      <c r="AF50" s="369"/>
      <c r="AG50" s="190"/>
      <c r="AH50" s="194"/>
      <c r="AI50" s="192"/>
      <c r="AJ50" s="190"/>
      <c r="AK50" s="190"/>
      <c r="AL50" s="196"/>
      <c r="AM50" s="198"/>
      <c r="AN50" s="190"/>
      <c r="AO50" s="190"/>
      <c r="AP50" s="200"/>
    </row>
    <row r="51" spans="1:42" ht="15" customHeight="1" x14ac:dyDescent="0.15">
      <c r="A51" s="272"/>
      <c r="B51" s="285" t="s">
        <v>343</v>
      </c>
      <c r="C51" s="286" t="s">
        <v>440</v>
      </c>
      <c r="D51" s="287" t="s">
        <v>441</v>
      </c>
      <c r="E51" s="288" t="s">
        <v>442</v>
      </c>
      <c r="F51" s="289" t="str">
        <f t="shared" si="3"/>
        <v>男</v>
      </c>
      <c r="G51" s="290">
        <v>22687</v>
      </c>
      <c r="H51" s="364">
        <v>30042</v>
      </c>
      <c r="I51" s="291" t="s">
        <v>392</v>
      </c>
      <c r="J51" s="288" t="s">
        <v>233</v>
      </c>
      <c r="K51" s="289" t="str">
        <f t="shared" si="4"/>
        <v>Ⅰ</v>
      </c>
      <c r="L51" s="291"/>
      <c r="M51" s="288"/>
      <c r="N51" s="292" t="str">
        <f>管理職区判定(I51,M51,O51,AA51)</f>
        <v/>
      </c>
      <c r="O51" s="293">
        <v>223000</v>
      </c>
      <c r="P51" s="294">
        <v>0</v>
      </c>
      <c r="Q51" s="294">
        <v>0</v>
      </c>
      <c r="R51" s="294">
        <v>0</v>
      </c>
      <c r="S51" s="294">
        <v>0</v>
      </c>
      <c r="T51" s="294">
        <v>0</v>
      </c>
      <c r="U51" s="294">
        <v>0</v>
      </c>
      <c r="V51" s="295">
        <f t="shared" si="1"/>
        <v>223000</v>
      </c>
      <c r="W51" s="296">
        <v>500</v>
      </c>
      <c r="X51" s="297" t="s">
        <v>446</v>
      </c>
      <c r="Y51" s="298"/>
      <c r="Z51" s="272"/>
      <c r="AA51" s="299">
        <v>0</v>
      </c>
      <c r="AB51" s="272"/>
      <c r="AC51" s="300" t="str">
        <f t="shared" ca="1" si="2"/>
        <v>60歳4ヶ月</v>
      </c>
      <c r="AD51" s="300" t="str">
        <f t="shared" ca="1" si="6"/>
        <v>40年2ヶ月</v>
      </c>
      <c r="AE51" s="368"/>
      <c r="AF51" s="369"/>
      <c r="AG51" s="190"/>
      <c r="AH51" s="194"/>
      <c r="AI51" s="192"/>
      <c r="AJ51" s="190"/>
      <c r="AK51" s="190"/>
      <c r="AL51" s="196"/>
      <c r="AM51" s="198"/>
      <c r="AN51" s="190"/>
      <c r="AO51" s="190"/>
      <c r="AP51" s="200"/>
    </row>
    <row r="52" spans="1:42" ht="15" customHeight="1" x14ac:dyDescent="0.15">
      <c r="A52" s="272"/>
      <c r="B52" s="285"/>
      <c r="C52" s="286"/>
      <c r="D52" s="287"/>
      <c r="E52" s="288"/>
      <c r="F52" s="289" t="str">
        <f t="shared" si="3"/>
        <v/>
      </c>
      <c r="G52" s="290"/>
      <c r="H52" s="364"/>
      <c r="I52" s="291"/>
      <c r="J52" s="288"/>
      <c r="K52" s="289" t="str">
        <f t="shared" si="4"/>
        <v/>
      </c>
      <c r="L52" s="291"/>
      <c r="M52" s="288"/>
      <c r="N52" s="292" t="s">
        <v>389</v>
      </c>
      <c r="O52" s="293"/>
      <c r="P52" s="294"/>
      <c r="Q52" s="294"/>
      <c r="R52" s="294"/>
      <c r="S52" s="294"/>
      <c r="T52" s="294"/>
      <c r="U52" s="294"/>
      <c r="V52" s="295">
        <f t="shared" ref="V52:V53" si="7">SUM(O52:U52)</f>
        <v>0</v>
      </c>
      <c r="W52" s="296"/>
      <c r="X52" s="297"/>
      <c r="Y52" s="298"/>
      <c r="Z52" s="272"/>
      <c r="AA52" s="299"/>
      <c r="AB52" s="272"/>
      <c r="AC52" s="300" t="str">
        <f t="shared" si="2"/>
        <v/>
      </c>
      <c r="AD52" s="300" t="str">
        <f t="shared" si="6"/>
        <v/>
      </c>
      <c r="AE52" s="368"/>
      <c r="AF52" s="369"/>
      <c r="AG52" s="190"/>
      <c r="AH52" s="194"/>
      <c r="AI52" s="192"/>
      <c r="AJ52" s="190"/>
      <c r="AK52" s="190"/>
      <c r="AL52" s="196"/>
      <c r="AM52" s="198"/>
      <c r="AN52" s="190"/>
      <c r="AO52" s="190"/>
      <c r="AP52" s="200"/>
    </row>
    <row r="53" spans="1:42" ht="15" customHeight="1" x14ac:dyDescent="0.15">
      <c r="A53" s="272"/>
      <c r="B53" s="304"/>
      <c r="C53" s="305"/>
      <c r="D53" s="306"/>
      <c r="E53" s="307"/>
      <c r="F53" s="308" t="str">
        <f t="shared" si="3"/>
        <v/>
      </c>
      <c r="G53" s="309"/>
      <c r="H53" s="365"/>
      <c r="I53" s="310"/>
      <c r="J53" s="307"/>
      <c r="K53" s="308" t="str">
        <f t="shared" si="4"/>
        <v/>
      </c>
      <c r="L53" s="310"/>
      <c r="M53" s="307"/>
      <c r="N53" s="311" t="str">
        <f t="shared" si="5"/>
        <v/>
      </c>
      <c r="O53" s="312"/>
      <c r="P53" s="313"/>
      <c r="Q53" s="313"/>
      <c r="R53" s="313"/>
      <c r="S53" s="313"/>
      <c r="T53" s="313"/>
      <c r="U53" s="313"/>
      <c r="V53" s="314">
        <f t="shared" si="7"/>
        <v>0</v>
      </c>
      <c r="W53" s="315"/>
      <c r="X53" s="316"/>
      <c r="Y53" s="317"/>
      <c r="Z53" s="272"/>
      <c r="AA53" s="317"/>
      <c r="AB53" s="272"/>
      <c r="AC53" s="300" t="str">
        <f t="shared" si="2"/>
        <v/>
      </c>
      <c r="AD53" s="300" t="str">
        <f t="shared" si="6"/>
        <v/>
      </c>
      <c r="AE53" s="368"/>
      <c r="AF53" s="369"/>
      <c r="AG53" s="190"/>
      <c r="AH53" s="194"/>
      <c r="AI53" s="192"/>
      <c r="AJ53" s="190"/>
      <c r="AK53" s="190"/>
      <c r="AL53" s="196"/>
      <c r="AM53" s="198"/>
      <c r="AN53" s="190"/>
      <c r="AO53" s="190"/>
      <c r="AP53" s="200"/>
    </row>
    <row r="54" spans="1:42" ht="24.95" customHeight="1" thickBot="1" x14ac:dyDescent="0.2">
      <c r="A54" s="272"/>
      <c r="B54" s="354"/>
      <c r="C54" s="355"/>
      <c r="D54" s="356"/>
      <c r="E54" s="357"/>
      <c r="F54" s="357"/>
      <c r="G54" s="357"/>
      <c r="H54" s="357"/>
      <c r="I54" s="357"/>
      <c r="J54" s="357"/>
      <c r="K54" s="357" t="str">
        <f t="shared" si="4"/>
        <v/>
      </c>
      <c r="L54" s="357"/>
      <c r="M54" s="357"/>
      <c r="N54" s="356"/>
      <c r="O54" s="358"/>
      <c r="P54" s="359"/>
      <c r="Q54" s="359"/>
      <c r="R54" s="359"/>
      <c r="S54" s="359"/>
      <c r="T54" s="359"/>
      <c r="U54" s="359"/>
      <c r="V54" s="360"/>
      <c r="W54" s="359"/>
      <c r="X54" s="361"/>
      <c r="Y54" s="362"/>
      <c r="Z54" s="272"/>
      <c r="AA54" s="362"/>
      <c r="AB54" s="272"/>
      <c r="AC54" s="363"/>
      <c r="AD54" s="363"/>
      <c r="AE54" s="370"/>
      <c r="AF54" s="371"/>
      <c r="AG54" s="191"/>
      <c r="AH54" s="195"/>
      <c r="AI54" s="193"/>
      <c r="AJ54" s="191"/>
      <c r="AK54" s="191"/>
      <c r="AL54" s="197"/>
      <c r="AM54" s="199"/>
      <c r="AN54" s="191"/>
      <c r="AO54" s="191"/>
      <c r="AP54" s="201"/>
    </row>
    <row r="55" spans="1:42" ht="15" customHeight="1" x14ac:dyDescent="0.15"/>
    <row r="61" spans="1:42" ht="14.25" thickBot="1" x14ac:dyDescent="0.2"/>
    <row r="62" spans="1:42" ht="14.25" thickTop="1" x14ac:dyDescent="0.15">
      <c r="B62" s="417" t="str">
        <f>B3</f>
        <v/>
      </c>
      <c r="C62" s="418"/>
      <c r="D62" s="418"/>
      <c r="E62" s="418"/>
      <c r="F62" s="419"/>
      <c r="H62" s="423" t="s">
        <v>24</v>
      </c>
      <c r="I62" s="423"/>
      <c r="J62" s="423"/>
      <c r="K62" s="423"/>
      <c r="L62" s="423"/>
      <c r="M62" s="423"/>
      <c r="N62" s="423"/>
      <c r="O62" s="423"/>
      <c r="P62" s="423"/>
      <c r="Q62" s="423"/>
      <c r="R62" s="423"/>
    </row>
    <row r="63" spans="1:42" ht="15" thickBot="1" x14ac:dyDescent="0.2">
      <c r="B63" s="420"/>
      <c r="C63" s="421"/>
      <c r="D63" s="421"/>
      <c r="E63" s="421"/>
      <c r="F63" s="422"/>
      <c r="H63" s="424"/>
      <c r="I63" s="424"/>
      <c r="J63" s="424"/>
      <c r="K63" s="424"/>
      <c r="L63" s="424"/>
      <c r="M63" s="424"/>
      <c r="N63" s="424"/>
      <c r="O63" s="424"/>
      <c r="P63" s="424"/>
      <c r="Q63" s="424"/>
      <c r="R63" s="424"/>
      <c r="U63" s="412">
        <f ca="1">U4</f>
        <v>44741.430119444442</v>
      </c>
      <c r="V63" s="412"/>
      <c r="W63" s="405" t="s">
        <v>42</v>
      </c>
      <c r="X63" s="405"/>
    </row>
    <row r="64" spans="1:42" ht="36" thickBot="1" x14ac:dyDescent="0.2">
      <c r="B64" s="30" t="s">
        <v>13</v>
      </c>
      <c r="C64" s="31" t="s">
        <v>14</v>
      </c>
      <c r="D64" s="32" t="s">
        <v>15</v>
      </c>
      <c r="E64" s="425" t="s">
        <v>16</v>
      </c>
      <c r="F64" s="426"/>
      <c r="G64" s="33" t="s">
        <v>17</v>
      </c>
      <c r="H64" s="33" t="s">
        <v>18</v>
      </c>
      <c r="I64" s="34" t="s">
        <v>19</v>
      </c>
      <c r="J64" s="425" t="s">
        <v>20</v>
      </c>
      <c r="K64" s="426"/>
      <c r="L64" s="33" t="s">
        <v>21</v>
      </c>
      <c r="M64" s="425" t="s">
        <v>22</v>
      </c>
      <c r="N64" s="426"/>
      <c r="O64" s="35" t="s">
        <v>3</v>
      </c>
      <c r="P64" s="36" t="s">
        <v>4</v>
      </c>
      <c r="Q64" s="37" t="s">
        <v>7</v>
      </c>
      <c r="R64" s="36" t="s">
        <v>5</v>
      </c>
      <c r="S64" s="37" t="s">
        <v>8</v>
      </c>
      <c r="T64" s="36" t="s">
        <v>6</v>
      </c>
      <c r="U64" s="37" t="s">
        <v>9</v>
      </c>
      <c r="V64" s="38" t="s">
        <v>10</v>
      </c>
      <c r="W64" s="39" t="s">
        <v>12</v>
      </c>
      <c r="X64" s="40" t="s">
        <v>11</v>
      </c>
      <c r="Y64" s="44" t="s">
        <v>23</v>
      </c>
      <c r="AA64" s="90" t="s">
        <v>52</v>
      </c>
      <c r="AC64" s="149"/>
    </row>
    <row r="65" spans="2:29" ht="15" customHeight="1" thickTop="1" x14ac:dyDescent="0.15">
      <c r="B65" s="5"/>
      <c r="C65" s="6"/>
      <c r="D65" s="7"/>
      <c r="E65" s="8"/>
      <c r="F65" s="9" t="str">
        <f t="shared" ref="F65:F112" si="8">IF(E65="M","男",IF(E65="F","女",IF(E65="","","？")))</f>
        <v/>
      </c>
      <c r="G65" s="10"/>
      <c r="H65" s="10"/>
      <c r="I65" s="10"/>
      <c r="J65" s="8"/>
      <c r="K65" s="9"/>
      <c r="L65" s="10"/>
      <c r="M65" s="8"/>
      <c r="N65" s="9"/>
      <c r="O65" s="11"/>
      <c r="P65" s="12"/>
      <c r="Q65" s="12"/>
      <c r="R65" s="12"/>
      <c r="S65" s="12"/>
      <c r="T65" s="12"/>
      <c r="U65" s="12"/>
      <c r="V65" s="13"/>
      <c r="W65" s="10"/>
      <c r="X65" s="14"/>
      <c r="Y65" s="42"/>
      <c r="AA65" s="91"/>
      <c r="AC65" s="98" t="str">
        <f t="shared" ref="AC65:AC112" si="9">IF(G65="","",DATEDIF(G65,$U$4,"Y")&amp;"歳"&amp;DATEDIF(G65,$U$4,"YＭ")&amp;"ヶ月")</f>
        <v/>
      </c>
    </row>
    <row r="66" spans="2:29" ht="15" customHeight="1" x14ac:dyDescent="0.15">
      <c r="B66" s="17"/>
      <c r="C66" s="15"/>
      <c r="D66" s="22"/>
      <c r="E66" s="18"/>
      <c r="F66" s="19" t="str">
        <f t="shared" si="8"/>
        <v/>
      </c>
      <c r="G66" s="41"/>
      <c r="H66" s="41"/>
      <c r="I66" s="20"/>
      <c r="J66" s="18"/>
      <c r="K66" s="19" t="str">
        <f t="shared" ref="K66:K112" si="10">IF(J66=6,"Ⅵ",IF(J66=5,"Ⅴ",IF(J66=4,"Ⅳ",IF(J66=3,"Ⅲ",IF(J66=2,"Ⅱ",IF(J66=1,"Ⅰ",IF(J66="","","？")))))))</f>
        <v/>
      </c>
      <c r="L66" s="20"/>
      <c r="M66" s="18"/>
      <c r="N66" s="21" t="str">
        <f t="shared" ref="N66:N112" si="11">管理職区判定(I66,M66,O66,AA66)</f>
        <v/>
      </c>
      <c r="O66" s="48"/>
      <c r="P66" s="49"/>
      <c r="Q66" s="49"/>
      <c r="R66" s="49"/>
      <c r="S66" s="49"/>
      <c r="T66" s="49"/>
      <c r="U66" s="49"/>
      <c r="V66" s="50">
        <f t="shared" ref="V66:V112" si="12">SUM(O66:U66)</f>
        <v>0</v>
      </c>
      <c r="W66" s="16"/>
      <c r="X66" s="23"/>
      <c r="Y66" s="51"/>
      <c r="AA66" s="94"/>
      <c r="AC66" s="98" t="str">
        <f t="shared" si="9"/>
        <v/>
      </c>
    </row>
    <row r="67" spans="2:29" ht="15" customHeight="1" x14ac:dyDescent="0.15">
      <c r="B67" s="17"/>
      <c r="C67" s="15"/>
      <c r="D67" s="22"/>
      <c r="E67" s="18"/>
      <c r="F67" s="19" t="str">
        <f t="shared" si="8"/>
        <v/>
      </c>
      <c r="G67" s="41"/>
      <c r="H67" s="41"/>
      <c r="I67" s="20"/>
      <c r="J67" s="18"/>
      <c r="K67" s="19" t="str">
        <f t="shared" si="10"/>
        <v/>
      </c>
      <c r="L67" s="20"/>
      <c r="M67" s="18"/>
      <c r="N67" s="21" t="str">
        <f t="shared" si="11"/>
        <v/>
      </c>
      <c r="O67" s="48"/>
      <c r="P67" s="49"/>
      <c r="Q67" s="49"/>
      <c r="R67" s="49"/>
      <c r="S67" s="49"/>
      <c r="T67" s="49"/>
      <c r="U67" s="49"/>
      <c r="V67" s="50">
        <f t="shared" si="12"/>
        <v>0</v>
      </c>
      <c r="W67" s="16"/>
      <c r="X67" s="23"/>
      <c r="Y67" s="51"/>
      <c r="AA67" s="94"/>
      <c r="AC67" s="98" t="str">
        <f t="shared" si="9"/>
        <v/>
      </c>
    </row>
    <row r="68" spans="2:29" ht="15" customHeight="1" x14ac:dyDescent="0.15">
      <c r="B68" s="17"/>
      <c r="C68" s="15"/>
      <c r="D68" s="22"/>
      <c r="E68" s="18"/>
      <c r="F68" s="19" t="str">
        <f t="shared" si="8"/>
        <v/>
      </c>
      <c r="G68" s="41"/>
      <c r="H68" s="41"/>
      <c r="I68" s="20"/>
      <c r="J68" s="18"/>
      <c r="K68" s="19" t="str">
        <f t="shared" si="10"/>
        <v/>
      </c>
      <c r="L68" s="20"/>
      <c r="M68" s="18"/>
      <c r="N68" s="21" t="str">
        <f t="shared" si="11"/>
        <v/>
      </c>
      <c r="O68" s="48"/>
      <c r="P68" s="49"/>
      <c r="Q68" s="49"/>
      <c r="R68" s="49"/>
      <c r="S68" s="49"/>
      <c r="T68" s="49"/>
      <c r="U68" s="49"/>
      <c r="V68" s="50">
        <f t="shared" si="12"/>
        <v>0</v>
      </c>
      <c r="W68" s="16"/>
      <c r="X68" s="23"/>
      <c r="Y68" s="51"/>
      <c r="AA68" s="94"/>
      <c r="AC68" s="98" t="str">
        <f t="shared" si="9"/>
        <v/>
      </c>
    </row>
    <row r="69" spans="2:29" ht="15" customHeight="1" x14ac:dyDescent="0.15">
      <c r="B69" s="17"/>
      <c r="C69" s="15"/>
      <c r="D69" s="22"/>
      <c r="E69" s="18"/>
      <c r="F69" s="19" t="str">
        <f t="shared" si="8"/>
        <v/>
      </c>
      <c r="G69" s="41"/>
      <c r="H69" s="41"/>
      <c r="I69" s="20"/>
      <c r="J69" s="18"/>
      <c r="K69" s="19" t="str">
        <f t="shared" si="10"/>
        <v/>
      </c>
      <c r="L69" s="20"/>
      <c r="M69" s="18"/>
      <c r="N69" s="21" t="str">
        <f t="shared" si="11"/>
        <v/>
      </c>
      <c r="O69" s="48"/>
      <c r="P69" s="49"/>
      <c r="Q69" s="49"/>
      <c r="R69" s="49"/>
      <c r="S69" s="49"/>
      <c r="T69" s="49"/>
      <c r="U69" s="49"/>
      <c r="V69" s="50">
        <f t="shared" si="12"/>
        <v>0</v>
      </c>
      <c r="W69" s="16"/>
      <c r="X69" s="23"/>
      <c r="Y69" s="51"/>
      <c r="AA69" s="94"/>
      <c r="AC69" s="98" t="str">
        <f t="shared" si="9"/>
        <v/>
      </c>
    </row>
    <row r="70" spans="2:29" ht="15" customHeight="1" x14ac:dyDescent="0.15">
      <c r="B70" s="17"/>
      <c r="C70" s="15"/>
      <c r="D70" s="22"/>
      <c r="E70" s="18"/>
      <c r="F70" s="19" t="str">
        <f t="shared" si="8"/>
        <v/>
      </c>
      <c r="G70" s="41"/>
      <c r="H70" s="41"/>
      <c r="I70" s="20"/>
      <c r="J70" s="18"/>
      <c r="K70" s="19" t="str">
        <f t="shared" si="10"/>
        <v/>
      </c>
      <c r="L70" s="20"/>
      <c r="M70" s="18"/>
      <c r="N70" s="21" t="str">
        <f t="shared" si="11"/>
        <v/>
      </c>
      <c r="O70" s="48"/>
      <c r="P70" s="49"/>
      <c r="Q70" s="49"/>
      <c r="R70" s="49"/>
      <c r="S70" s="49"/>
      <c r="T70" s="49"/>
      <c r="U70" s="49"/>
      <c r="V70" s="50">
        <f t="shared" si="12"/>
        <v>0</v>
      </c>
      <c r="W70" s="16"/>
      <c r="X70" s="23"/>
      <c r="Y70" s="51"/>
      <c r="AA70" s="94"/>
      <c r="AC70" s="98" t="str">
        <f t="shared" si="9"/>
        <v/>
      </c>
    </row>
    <row r="71" spans="2:29" ht="15" customHeight="1" x14ac:dyDescent="0.15">
      <c r="B71" s="17"/>
      <c r="C71" s="15"/>
      <c r="D71" s="22"/>
      <c r="E71" s="18"/>
      <c r="F71" s="19" t="str">
        <f t="shared" si="8"/>
        <v/>
      </c>
      <c r="G71" s="41"/>
      <c r="H71" s="41"/>
      <c r="I71" s="20"/>
      <c r="J71" s="18"/>
      <c r="K71" s="19" t="str">
        <f t="shared" si="10"/>
        <v/>
      </c>
      <c r="L71" s="20"/>
      <c r="M71" s="18"/>
      <c r="N71" s="21" t="str">
        <f t="shared" si="11"/>
        <v/>
      </c>
      <c r="O71" s="48"/>
      <c r="P71" s="49"/>
      <c r="Q71" s="49"/>
      <c r="R71" s="49"/>
      <c r="S71" s="49"/>
      <c r="T71" s="49"/>
      <c r="U71" s="49"/>
      <c r="V71" s="50">
        <f t="shared" si="12"/>
        <v>0</v>
      </c>
      <c r="W71" s="16"/>
      <c r="X71" s="23"/>
      <c r="Y71" s="51"/>
      <c r="AA71" s="94"/>
      <c r="AC71" s="98" t="str">
        <f t="shared" si="9"/>
        <v/>
      </c>
    </row>
    <row r="72" spans="2:29" ht="15" customHeight="1" x14ac:dyDescent="0.15">
      <c r="B72" s="17"/>
      <c r="C72" s="15"/>
      <c r="D72" s="22"/>
      <c r="E72" s="18"/>
      <c r="F72" s="19" t="str">
        <f t="shared" si="8"/>
        <v/>
      </c>
      <c r="G72" s="41"/>
      <c r="H72" s="41"/>
      <c r="I72" s="20"/>
      <c r="J72" s="18"/>
      <c r="K72" s="19" t="str">
        <f t="shared" si="10"/>
        <v/>
      </c>
      <c r="L72" s="20"/>
      <c r="M72" s="18"/>
      <c r="N72" s="21" t="str">
        <f t="shared" si="11"/>
        <v/>
      </c>
      <c r="O72" s="48"/>
      <c r="P72" s="49"/>
      <c r="Q72" s="49"/>
      <c r="R72" s="49"/>
      <c r="S72" s="49"/>
      <c r="T72" s="49"/>
      <c r="U72" s="49"/>
      <c r="V72" s="50">
        <f t="shared" si="12"/>
        <v>0</v>
      </c>
      <c r="W72" s="16"/>
      <c r="X72" s="23"/>
      <c r="Y72" s="51"/>
      <c r="AA72" s="94"/>
      <c r="AC72" s="98" t="str">
        <f t="shared" si="9"/>
        <v/>
      </c>
    </row>
    <row r="73" spans="2:29" ht="15" customHeight="1" x14ac:dyDescent="0.15">
      <c r="B73" s="17"/>
      <c r="C73" s="15"/>
      <c r="D73" s="22"/>
      <c r="E73" s="18"/>
      <c r="F73" s="19" t="str">
        <f t="shared" si="8"/>
        <v/>
      </c>
      <c r="G73" s="41"/>
      <c r="H73" s="41"/>
      <c r="I73" s="20"/>
      <c r="J73" s="18"/>
      <c r="K73" s="19" t="str">
        <f t="shared" si="10"/>
        <v/>
      </c>
      <c r="L73" s="20"/>
      <c r="M73" s="18"/>
      <c r="N73" s="21" t="str">
        <f t="shared" si="11"/>
        <v/>
      </c>
      <c r="O73" s="48"/>
      <c r="P73" s="49"/>
      <c r="Q73" s="49"/>
      <c r="R73" s="49"/>
      <c r="S73" s="49"/>
      <c r="T73" s="49"/>
      <c r="U73" s="49"/>
      <c r="V73" s="50">
        <f t="shared" si="12"/>
        <v>0</v>
      </c>
      <c r="W73" s="16"/>
      <c r="X73" s="23"/>
      <c r="Y73" s="51"/>
      <c r="AA73" s="94"/>
      <c r="AC73" s="98" t="str">
        <f t="shared" si="9"/>
        <v/>
      </c>
    </row>
    <row r="74" spans="2:29" ht="15" customHeight="1" x14ac:dyDescent="0.15">
      <c r="B74" s="17"/>
      <c r="C74" s="15"/>
      <c r="D74" s="22"/>
      <c r="E74" s="18"/>
      <c r="F74" s="19" t="str">
        <f t="shared" si="8"/>
        <v/>
      </c>
      <c r="G74" s="41"/>
      <c r="H74" s="41"/>
      <c r="I74" s="20"/>
      <c r="J74" s="18"/>
      <c r="K74" s="19" t="str">
        <f t="shared" si="10"/>
        <v/>
      </c>
      <c r="L74" s="20"/>
      <c r="M74" s="18"/>
      <c r="N74" s="21" t="str">
        <f t="shared" si="11"/>
        <v/>
      </c>
      <c r="O74" s="48"/>
      <c r="P74" s="49"/>
      <c r="Q74" s="49"/>
      <c r="R74" s="49"/>
      <c r="S74" s="49"/>
      <c r="T74" s="49"/>
      <c r="U74" s="49"/>
      <c r="V74" s="50">
        <f t="shared" si="12"/>
        <v>0</v>
      </c>
      <c r="W74" s="16"/>
      <c r="X74" s="23"/>
      <c r="Y74" s="51"/>
      <c r="AA74" s="94"/>
      <c r="AC74" s="98" t="str">
        <f t="shared" si="9"/>
        <v/>
      </c>
    </row>
    <row r="75" spans="2:29" ht="15" customHeight="1" x14ac:dyDescent="0.15">
      <c r="B75" s="17"/>
      <c r="C75" s="15"/>
      <c r="D75" s="22"/>
      <c r="E75" s="18"/>
      <c r="F75" s="19" t="str">
        <f t="shared" si="8"/>
        <v/>
      </c>
      <c r="G75" s="41"/>
      <c r="H75" s="41"/>
      <c r="I75" s="20"/>
      <c r="J75" s="18"/>
      <c r="K75" s="19" t="str">
        <f t="shared" si="10"/>
        <v/>
      </c>
      <c r="L75" s="20"/>
      <c r="M75" s="18"/>
      <c r="N75" s="21" t="str">
        <f t="shared" si="11"/>
        <v/>
      </c>
      <c r="O75" s="48"/>
      <c r="P75" s="49"/>
      <c r="Q75" s="49"/>
      <c r="R75" s="49"/>
      <c r="S75" s="49"/>
      <c r="T75" s="49"/>
      <c r="U75" s="49"/>
      <c r="V75" s="50">
        <f t="shared" si="12"/>
        <v>0</v>
      </c>
      <c r="W75" s="16"/>
      <c r="X75" s="23"/>
      <c r="Y75" s="51"/>
      <c r="AA75" s="94"/>
      <c r="AC75" s="98" t="str">
        <f t="shared" si="9"/>
        <v/>
      </c>
    </row>
    <row r="76" spans="2:29" ht="15" customHeight="1" x14ac:dyDescent="0.15">
      <c r="B76" s="17"/>
      <c r="C76" s="15"/>
      <c r="D76" s="22"/>
      <c r="E76" s="18"/>
      <c r="F76" s="19" t="str">
        <f t="shared" si="8"/>
        <v/>
      </c>
      <c r="G76" s="41"/>
      <c r="H76" s="41"/>
      <c r="I76" s="20"/>
      <c r="J76" s="18"/>
      <c r="K76" s="19" t="str">
        <f t="shared" si="10"/>
        <v/>
      </c>
      <c r="L76" s="20"/>
      <c r="M76" s="18"/>
      <c r="N76" s="21" t="str">
        <f t="shared" si="11"/>
        <v/>
      </c>
      <c r="O76" s="48"/>
      <c r="P76" s="49"/>
      <c r="Q76" s="49"/>
      <c r="R76" s="49"/>
      <c r="S76" s="49"/>
      <c r="T76" s="49"/>
      <c r="U76" s="49"/>
      <c r="V76" s="50">
        <f t="shared" si="12"/>
        <v>0</v>
      </c>
      <c r="W76" s="16"/>
      <c r="X76" s="23"/>
      <c r="Y76" s="51"/>
      <c r="AA76" s="94"/>
      <c r="AC76" s="98" t="str">
        <f t="shared" si="9"/>
        <v/>
      </c>
    </row>
    <row r="77" spans="2:29" ht="15" customHeight="1" x14ac:dyDescent="0.15">
      <c r="B77" s="17"/>
      <c r="C77" s="15"/>
      <c r="D77" s="22"/>
      <c r="E77" s="18"/>
      <c r="F77" s="19" t="str">
        <f t="shared" si="8"/>
        <v/>
      </c>
      <c r="G77" s="41"/>
      <c r="H77" s="41"/>
      <c r="I77" s="20"/>
      <c r="J77" s="18"/>
      <c r="K77" s="19" t="str">
        <f t="shared" si="10"/>
        <v/>
      </c>
      <c r="L77" s="20"/>
      <c r="M77" s="18"/>
      <c r="N77" s="21" t="str">
        <f t="shared" si="11"/>
        <v/>
      </c>
      <c r="O77" s="48"/>
      <c r="P77" s="49"/>
      <c r="Q77" s="49"/>
      <c r="R77" s="49"/>
      <c r="S77" s="49"/>
      <c r="T77" s="49"/>
      <c r="U77" s="49"/>
      <c r="V77" s="50">
        <f t="shared" si="12"/>
        <v>0</v>
      </c>
      <c r="W77" s="16"/>
      <c r="X77" s="23"/>
      <c r="Y77" s="51"/>
      <c r="AA77" s="94"/>
      <c r="AC77" s="98" t="str">
        <f t="shared" si="9"/>
        <v/>
      </c>
    </row>
    <row r="78" spans="2:29" ht="15" customHeight="1" x14ac:dyDescent="0.15">
      <c r="B78" s="17"/>
      <c r="C78" s="15"/>
      <c r="D78" s="22"/>
      <c r="E78" s="18"/>
      <c r="F78" s="19" t="str">
        <f t="shared" si="8"/>
        <v/>
      </c>
      <c r="G78" s="41"/>
      <c r="H78" s="41"/>
      <c r="I78" s="20"/>
      <c r="J78" s="18"/>
      <c r="K78" s="19" t="str">
        <f t="shared" si="10"/>
        <v/>
      </c>
      <c r="L78" s="20"/>
      <c r="M78" s="18"/>
      <c r="N78" s="21" t="str">
        <f t="shared" si="11"/>
        <v/>
      </c>
      <c r="O78" s="48"/>
      <c r="P78" s="49"/>
      <c r="Q78" s="49"/>
      <c r="R78" s="49"/>
      <c r="S78" s="49"/>
      <c r="T78" s="49"/>
      <c r="U78" s="49"/>
      <c r="V78" s="50">
        <f t="shared" si="12"/>
        <v>0</v>
      </c>
      <c r="W78" s="16"/>
      <c r="X78" s="23"/>
      <c r="Y78" s="51"/>
      <c r="AA78" s="94"/>
      <c r="AC78" s="98" t="str">
        <f t="shared" si="9"/>
        <v/>
      </c>
    </row>
    <row r="79" spans="2:29" ht="15" customHeight="1" x14ac:dyDescent="0.15">
      <c r="B79" s="17"/>
      <c r="C79" s="15"/>
      <c r="D79" s="22"/>
      <c r="E79" s="18"/>
      <c r="F79" s="19" t="str">
        <f t="shared" si="8"/>
        <v/>
      </c>
      <c r="G79" s="41"/>
      <c r="H79" s="41"/>
      <c r="I79" s="20"/>
      <c r="J79" s="18"/>
      <c r="K79" s="19" t="str">
        <f t="shared" si="10"/>
        <v/>
      </c>
      <c r="L79" s="20"/>
      <c r="M79" s="18"/>
      <c r="N79" s="21" t="str">
        <f t="shared" si="11"/>
        <v/>
      </c>
      <c r="O79" s="48"/>
      <c r="P79" s="49"/>
      <c r="Q79" s="49"/>
      <c r="R79" s="49"/>
      <c r="S79" s="49"/>
      <c r="T79" s="49"/>
      <c r="U79" s="49"/>
      <c r="V79" s="50">
        <f t="shared" si="12"/>
        <v>0</v>
      </c>
      <c r="W79" s="16"/>
      <c r="X79" s="23"/>
      <c r="Y79" s="51"/>
      <c r="AA79" s="94"/>
      <c r="AC79" s="98" t="str">
        <f t="shared" si="9"/>
        <v/>
      </c>
    </row>
    <row r="80" spans="2:29" ht="15" customHeight="1" x14ac:dyDescent="0.15">
      <c r="B80" s="17"/>
      <c r="C80" s="15"/>
      <c r="D80" s="22"/>
      <c r="E80" s="18"/>
      <c r="F80" s="19" t="str">
        <f t="shared" si="8"/>
        <v/>
      </c>
      <c r="G80" s="41"/>
      <c r="H80" s="41"/>
      <c r="I80" s="20"/>
      <c r="J80" s="18"/>
      <c r="K80" s="19" t="str">
        <f t="shared" si="10"/>
        <v/>
      </c>
      <c r="L80" s="20"/>
      <c r="M80" s="18"/>
      <c r="N80" s="21" t="str">
        <f t="shared" si="11"/>
        <v/>
      </c>
      <c r="O80" s="48"/>
      <c r="P80" s="49"/>
      <c r="Q80" s="49"/>
      <c r="R80" s="49"/>
      <c r="S80" s="49"/>
      <c r="T80" s="49"/>
      <c r="U80" s="49"/>
      <c r="V80" s="50">
        <f t="shared" si="12"/>
        <v>0</v>
      </c>
      <c r="W80" s="16"/>
      <c r="X80" s="23"/>
      <c r="Y80" s="51"/>
      <c r="AA80" s="94"/>
      <c r="AC80" s="98" t="str">
        <f t="shared" si="9"/>
        <v/>
      </c>
    </row>
    <row r="81" spans="2:29" ht="15" customHeight="1" x14ac:dyDescent="0.15">
      <c r="B81" s="17"/>
      <c r="C81" s="15"/>
      <c r="D81" s="22"/>
      <c r="E81" s="18"/>
      <c r="F81" s="19" t="str">
        <f t="shared" si="8"/>
        <v/>
      </c>
      <c r="G81" s="41"/>
      <c r="H81" s="41"/>
      <c r="I81" s="20"/>
      <c r="J81" s="18"/>
      <c r="K81" s="19" t="str">
        <f t="shared" si="10"/>
        <v/>
      </c>
      <c r="L81" s="20"/>
      <c r="M81" s="18"/>
      <c r="N81" s="21" t="str">
        <f t="shared" si="11"/>
        <v/>
      </c>
      <c r="O81" s="48"/>
      <c r="P81" s="49"/>
      <c r="Q81" s="49"/>
      <c r="R81" s="49"/>
      <c r="S81" s="49"/>
      <c r="T81" s="49"/>
      <c r="U81" s="49"/>
      <c r="V81" s="50">
        <f t="shared" si="12"/>
        <v>0</v>
      </c>
      <c r="W81" s="16"/>
      <c r="X81" s="23"/>
      <c r="Y81" s="51"/>
      <c r="AA81" s="94"/>
      <c r="AC81" s="98" t="str">
        <f t="shared" si="9"/>
        <v/>
      </c>
    </row>
    <row r="82" spans="2:29" ht="15" customHeight="1" x14ac:dyDescent="0.15">
      <c r="B82" s="17"/>
      <c r="C82" s="15"/>
      <c r="D82" s="22"/>
      <c r="E82" s="18"/>
      <c r="F82" s="19" t="str">
        <f t="shared" si="8"/>
        <v/>
      </c>
      <c r="G82" s="41"/>
      <c r="H82" s="41"/>
      <c r="I82" s="20"/>
      <c r="J82" s="18"/>
      <c r="K82" s="19" t="str">
        <f t="shared" si="10"/>
        <v/>
      </c>
      <c r="L82" s="20"/>
      <c r="M82" s="18"/>
      <c r="N82" s="21" t="str">
        <f t="shared" si="11"/>
        <v/>
      </c>
      <c r="O82" s="48"/>
      <c r="P82" s="49"/>
      <c r="Q82" s="49"/>
      <c r="R82" s="49"/>
      <c r="S82" s="49"/>
      <c r="T82" s="49"/>
      <c r="U82" s="49"/>
      <c r="V82" s="50">
        <f t="shared" si="12"/>
        <v>0</v>
      </c>
      <c r="W82" s="16"/>
      <c r="X82" s="23"/>
      <c r="Y82" s="51"/>
      <c r="AA82" s="94"/>
      <c r="AC82" s="98" t="str">
        <f t="shared" si="9"/>
        <v/>
      </c>
    </row>
    <row r="83" spans="2:29" ht="15" customHeight="1" x14ac:dyDescent="0.15">
      <c r="B83" s="17"/>
      <c r="C83" s="15"/>
      <c r="D83" s="22"/>
      <c r="E83" s="18"/>
      <c r="F83" s="19" t="str">
        <f t="shared" si="8"/>
        <v/>
      </c>
      <c r="G83" s="41"/>
      <c r="H83" s="41"/>
      <c r="I83" s="20"/>
      <c r="J83" s="18"/>
      <c r="K83" s="19" t="str">
        <f t="shared" si="10"/>
        <v/>
      </c>
      <c r="L83" s="20"/>
      <c r="M83" s="18"/>
      <c r="N83" s="21" t="str">
        <f t="shared" si="11"/>
        <v/>
      </c>
      <c r="O83" s="48"/>
      <c r="P83" s="49"/>
      <c r="Q83" s="49"/>
      <c r="R83" s="49"/>
      <c r="S83" s="49"/>
      <c r="T83" s="49"/>
      <c r="U83" s="49"/>
      <c r="V83" s="50">
        <f t="shared" si="12"/>
        <v>0</v>
      </c>
      <c r="W83" s="16"/>
      <c r="X83" s="23"/>
      <c r="Y83" s="51"/>
      <c r="AA83" s="94"/>
      <c r="AC83" s="98" t="str">
        <f t="shared" si="9"/>
        <v/>
      </c>
    </row>
    <row r="84" spans="2:29" ht="15" customHeight="1" x14ac:dyDescent="0.15">
      <c r="B84" s="17"/>
      <c r="C84" s="15"/>
      <c r="D84" s="22"/>
      <c r="E84" s="18"/>
      <c r="F84" s="19" t="str">
        <f t="shared" si="8"/>
        <v/>
      </c>
      <c r="G84" s="41"/>
      <c r="H84" s="41"/>
      <c r="I84" s="20"/>
      <c r="J84" s="18"/>
      <c r="K84" s="19" t="str">
        <f t="shared" si="10"/>
        <v/>
      </c>
      <c r="L84" s="20"/>
      <c r="M84" s="18"/>
      <c r="N84" s="21" t="str">
        <f t="shared" si="11"/>
        <v/>
      </c>
      <c r="O84" s="48"/>
      <c r="P84" s="49"/>
      <c r="Q84" s="49"/>
      <c r="R84" s="49"/>
      <c r="S84" s="49"/>
      <c r="T84" s="49"/>
      <c r="U84" s="49"/>
      <c r="V84" s="50">
        <f t="shared" si="12"/>
        <v>0</v>
      </c>
      <c r="W84" s="16"/>
      <c r="X84" s="23"/>
      <c r="Y84" s="51"/>
      <c r="AA84" s="94"/>
      <c r="AC84" s="98" t="str">
        <f t="shared" si="9"/>
        <v/>
      </c>
    </row>
    <row r="85" spans="2:29" ht="15" customHeight="1" x14ac:dyDescent="0.15">
      <c r="B85" s="17"/>
      <c r="C85" s="15"/>
      <c r="D85" s="22"/>
      <c r="E85" s="18"/>
      <c r="F85" s="19" t="str">
        <f t="shared" si="8"/>
        <v/>
      </c>
      <c r="G85" s="41"/>
      <c r="H85" s="41"/>
      <c r="I85" s="20"/>
      <c r="J85" s="18"/>
      <c r="K85" s="19" t="str">
        <f t="shared" si="10"/>
        <v/>
      </c>
      <c r="L85" s="20"/>
      <c r="M85" s="18"/>
      <c r="N85" s="21" t="str">
        <f t="shared" si="11"/>
        <v/>
      </c>
      <c r="O85" s="48"/>
      <c r="P85" s="49"/>
      <c r="Q85" s="49"/>
      <c r="R85" s="49"/>
      <c r="S85" s="49"/>
      <c r="T85" s="49"/>
      <c r="U85" s="49"/>
      <c r="V85" s="50">
        <f t="shared" si="12"/>
        <v>0</v>
      </c>
      <c r="W85" s="16"/>
      <c r="X85" s="23"/>
      <c r="Y85" s="51"/>
      <c r="AA85" s="94"/>
      <c r="AC85" s="98" t="str">
        <f t="shared" si="9"/>
        <v/>
      </c>
    </row>
    <row r="86" spans="2:29" ht="15" customHeight="1" x14ac:dyDescent="0.15">
      <c r="B86" s="17"/>
      <c r="C86" s="15"/>
      <c r="D86" s="22"/>
      <c r="E86" s="18"/>
      <c r="F86" s="19" t="str">
        <f t="shared" si="8"/>
        <v/>
      </c>
      <c r="G86" s="41"/>
      <c r="H86" s="41"/>
      <c r="I86" s="20"/>
      <c r="J86" s="18"/>
      <c r="K86" s="19" t="str">
        <f t="shared" si="10"/>
        <v/>
      </c>
      <c r="L86" s="20"/>
      <c r="M86" s="18"/>
      <c r="N86" s="21" t="str">
        <f t="shared" si="11"/>
        <v/>
      </c>
      <c r="O86" s="48"/>
      <c r="P86" s="49"/>
      <c r="Q86" s="49"/>
      <c r="R86" s="49"/>
      <c r="S86" s="49"/>
      <c r="T86" s="49"/>
      <c r="U86" s="49"/>
      <c r="V86" s="50">
        <f t="shared" si="12"/>
        <v>0</v>
      </c>
      <c r="W86" s="16"/>
      <c r="X86" s="23"/>
      <c r="Y86" s="51"/>
      <c r="AA86" s="94"/>
      <c r="AC86" s="98" t="str">
        <f t="shared" si="9"/>
        <v/>
      </c>
    </row>
    <row r="87" spans="2:29" ht="15" customHeight="1" x14ac:dyDescent="0.15">
      <c r="B87" s="17"/>
      <c r="C87" s="15"/>
      <c r="D87" s="22"/>
      <c r="E87" s="18"/>
      <c r="F87" s="19" t="str">
        <f t="shared" si="8"/>
        <v/>
      </c>
      <c r="G87" s="41"/>
      <c r="H87" s="41"/>
      <c r="I87" s="20"/>
      <c r="J87" s="18"/>
      <c r="K87" s="19" t="str">
        <f t="shared" si="10"/>
        <v/>
      </c>
      <c r="L87" s="20"/>
      <c r="M87" s="18"/>
      <c r="N87" s="21" t="str">
        <f t="shared" si="11"/>
        <v/>
      </c>
      <c r="O87" s="48"/>
      <c r="P87" s="49"/>
      <c r="Q87" s="49"/>
      <c r="R87" s="49"/>
      <c r="S87" s="49"/>
      <c r="T87" s="49"/>
      <c r="U87" s="49"/>
      <c r="V87" s="50">
        <f t="shared" si="12"/>
        <v>0</v>
      </c>
      <c r="W87" s="16"/>
      <c r="X87" s="23"/>
      <c r="Y87" s="51"/>
      <c r="AA87" s="94"/>
      <c r="AC87" s="98" t="str">
        <f t="shared" si="9"/>
        <v/>
      </c>
    </row>
    <row r="88" spans="2:29" ht="15" customHeight="1" x14ac:dyDescent="0.15">
      <c r="B88" s="17"/>
      <c r="C88" s="15"/>
      <c r="D88" s="22"/>
      <c r="E88" s="18"/>
      <c r="F88" s="19" t="str">
        <f t="shared" si="8"/>
        <v/>
      </c>
      <c r="G88" s="41"/>
      <c r="H88" s="41"/>
      <c r="I88" s="20"/>
      <c r="J88" s="18"/>
      <c r="K88" s="19" t="str">
        <f t="shared" si="10"/>
        <v/>
      </c>
      <c r="L88" s="20"/>
      <c r="M88" s="18"/>
      <c r="N88" s="21" t="str">
        <f t="shared" si="11"/>
        <v/>
      </c>
      <c r="O88" s="48"/>
      <c r="P88" s="49"/>
      <c r="Q88" s="49"/>
      <c r="R88" s="49"/>
      <c r="S88" s="49"/>
      <c r="T88" s="49"/>
      <c r="U88" s="49"/>
      <c r="V88" s="50">
        <f t="shared" si="12"/>
        <v>0</v>
      </c>
      <c r="W88" s="16"/>
      <c r="X88" s="23"/>
      <c r="Y88" s="51"/>
      <c r="AA88" s="94"/>
      <c r="AC88" s="98" t="str">
        <f t="shared" si="9"/>
        <v/>
      </c>
    </row>
    <row r="89" spans="2:29" ht="15" customHeight="1" x14ac:dyDescent="0.15">
      <c r="B89" s="17"/>
      <c r="C89" s="15"/>
      <c r="D89" s="22"/>
      <c r="E89" s="18"/>
      <c r="F89" s="19" t="str">
        <f t="shared" si="8"/>
        <v/>
      </c>
      <c r="G89" s="41"/>
      <c r="H89" s="41"/>
      <c r="I89" s="20"/>
      <c r="J89" s="18"/>
      <c r="K89" s="19" t="str">
        <f t="shared" si="10"/>
        <v/>
      </c>
      <c r="L89" s="20"/>
      <c r="M89" s="18"/>
      <c r="N89" s="21" t="str">
        <f t="shared" si="11"/>
        <v/>
      </c>
      <c r="O89" s="48"/>
      <c r="P89" s="49"/>
      <c r="Q89" s="49"/>
      <c r="R89" s="49"/>
      <c r="S89" s="49"/>
      <c r="T89" s="49"/>
      <c r="U89" s="49"/>
      <c r="V89" s="50">
        <f t="shared" si="12"/>
        <v>0</v>
      </c>
      <c r="W89" s="16"/>
      <c r="X89" s="23"/>
      <c r="Y89" s="51"/>
      <c r="AA89" s="94"/>
      <c r="AC89" s="98" t="str">
        <f t="shared" si="9"/>
        <v/>
      </c>
    </row>
    <row r="90" spans="2:29" ht="15" customHeight="1" x14ac:dyDescent="0.15">
      <c r="B90" s="17"/>
      <c r="C90" s="15"/>
      <c r="D90" s="22"/>
      <c r="E90" s="18"/>
      <c r="F90" s="19" t="str">
        <f t="shared" si="8"/>
        <v/>
      </c>
      <c r="G90" s="41"/>
      <c r="H90" s="41"/>
      <c r="I90" s="20"/>
      <c r="J90" s="18"/>
      <c r="K90" s="19" t="str">
        <f t="shared" si="10"/>
        <v/>
      </c>
      <c r="L90" s="20"/>
      <c r="M90" s="18"/>
      <c r="N90" s="21" t="str">
        <f t="shared" si="11"/>
        <v/>
      </c>
      <c r="O90" s="48"/>
      <c r="P90" s="49"/>
      <c r="Q90" s="49"/>
      <c r="R90" s="49"/>
      <c r="S90" s="49"/>
      <c r="T90" s="49"/>
      <c r="U90" s="49"/>
      <c r="V90" s="50">
        <f t="shared" si="12"/>
        <v>0</v>
      </c>
      <c r="W90" s="16"/>
      <c r="X90" s="23"/>
      <c r="Y90" s="51"/>
      <c r="AA90" s="94"/>
      <c r="AC90" s="98" t="str">
        <f t="shared" si="9"/>
        <v/>
      </c>
    </row>
    <row r="91" spans="2:29" ht="15" customHeight="1" x14ac:dyDescent="0.15">
      <c r="B91" s="17"/>
      <c r="C91" s="15"/>
      <c r="D91" s="22"/>
      <c r="E91" s="18"/>
      <c r="F91" s="19" t="str">
        <f t="shared" si="8"/>
        <v/>
      </c>
      <c r="G91" s="41"/>
      <c r="H91" s="41"/>
      <c r="I91" s="20"/>
      <c r="J91" s="18"/>
      <c r="K91" s="19" t="str">
        <f t="shared" si="10"/>
        <v/>
      </c>
      <c r="L91" s="20"/>
      <c r="M91" s="18"/>
      <c r="N91" s="21" t="str">
        <f t="shared" si="11"/>
        <v/>
      </c>
      <c r="O91" s="48"/>
      <c r="P91" s="49"/>
      <c r="Q91" s="49"/>
      <c r="R91" s="49"/>
      <c r="S91" s="49"/>
      <c r="T91" s="49"/>
      <c r="U91" s="49"/>
      <c r="V91" s="50">
        <f t="shared" si="12"/>
        <v>0</v>
      </c>
      <c r="W91" s="16"/>
      <c r="X91" s="23"/>
      <c r="Y91" s="51"/>
      <c r="AA91" s="94"/>
      <c r="AC91" s="98" t="str">
        <f t="shared" si="9"/>
        <v/>
      </c>
    </row>
    <row r="92" spans="2:29" ht="15" customHeight="1" x14ac:dyDescent="0.15">
      <c r="B92" s="17"/>
      <c r="C92" s="15"/>
      <c r="D92" s="22"/>
      <c r="E92" s="18"/>
      <c r="F92" s="19" t="str">
        <f t="shared" si="8"/>
        <v/>
      </c>
      <c r="G92" s="41"/>
      <c r="H92" s="41"/>
      <c r="I92" s="20"/>
      <c r="J92" s="18"/>
      <c r="K92" s="19" t="str">
        <f t="shared" si="10"/>
        <v/>
      </c>
      <c r="L92" s="20"/>
      <c r="M92" s="18"/>
      <c r="N92" s="21" t="str">
        <f t="shared" si="11"/>
        <v/>
      </c>
      <c r="O92" s="48"/>
      <c r="P92" s="49"/>
      <c r="Q92" s="49"/>
      <c r="R92" s="49"/>
      <c r="S92" s="49"/>
      <c r="T92" s="49"/>
      <c r="U92" s="49"/>
      <c r="V92" s="50">
        <f t="shared" si="12"/>
        <v>0</v>
      </c>
      <c r="W92" s="16"/>
      <c r="X92" s="23"/>
      <c r="Y92" s="51"/>
      <c r="AA92" s="94"/>
      <c r="AC92" s="98" t="str">
        <f t="shared" si="9"/>
        <v/>
      </c>
    </row>
    <row r="93" spans="2:29" ht="15" customHeight="1" x14ac:dyDescent="0.15">
      <c r="B93" s="17"/>
      <c r="C93" s="15"/>
      <c r="D93" s="22"/>
      <c r="E93" s="18"/>
      <c r="F93" s="19" t="str">
        <f t="shared" si="8"/>
        <v/>
      </c>
      <c r="G93" s="41"/>
      <c r="H93" s="41"/>
      <c r="I93" s="20"/>
      <c r="J93" s="18"/>
      <c r="K93" s="19" t="str">
        <f t="shared" si="10"/>
        <v/>
      </c>
      <c r="L93" s="20"/>
      <c r="M93" s="18"/>
      <c r="N93" s="21" t="str">
        <f t="shared" si="11"/>
        <v/>
      </c>
      <c r="O93" s="48"/>
      <c r="P93" s="49"/>
      <c r="Q93" s="49"/>
      <c r="R93" s="49"/>
      <c r="S93" s="49"/>
      <c r="T93" s="49"/>
      <c r="U93" s="49"/>
      <c r="V93" s="50">
        <f t="shared" si="12"/>
        <v>0</v>
      </c>
      <c r="W93" s="16"/>
      <c r="X93" s="23"/>
      <c r="Y93" s="51"/>
      <c r="AA93" s="94"/>
      <c r="AC93" s="98" t="str">
        <f t="shared" si="9"/>
        <v/>
      </c>
    </row>
    <row r="94" spans="2:29" ht="15" customHeight="1" x14ac:dyDescent="0.15">
      <c r="B94" s="17"/>
      <c r="C94" s="15"/>
      <c r="D94" s="22"/>
      <c r="E94" s="18"/>
      <c r="F94" s="19" t="str">
        <f t="shared" si="8"/>
        <v/>
      </c>
      <c r="G94" s="41"/>
      <c r="H94" s="41"/>
      <c r="I94" s="20"/>
      <c r="J94" s="18"/>
      <c r="K94" s="19" t="str">
        <f t="shared" si="10"/>
        <v/>
      </c>
      <c r="L94" s="20"/>
      <c r="M94" s="18"/>
      <c r="N94" s="21" t="str">
        <f t="shared" si="11"/>
        <v/>
      </c>
      <c r="O94" s="48"/>
      <c r="P94" s="49"/>
      <c r="Q94" s="49"/>
      <c r="R94" s="49"/>
      <c r="S94" s="49"/>
      <c r="T94" s="49"/>
      <c r="U94" s="49"/>
      <c r="V94" s="50">
        <f t="shared" si="12"/>
        <v>0</v>
      </c>
      <c r="W94" s="16"/>
      <c r="X94" s="23"/>
      <c r="Y94" s="51"/>
      <c r="AA94" s="94"/>
      <c r="AC94" s="98" t="str">
        <f t="shared" si="9"/>
        <v/>
      </c>
    </row>
    <row r="95" spans="2:29" ht="15" customHeight="1" x14ac:dyDescent="0.15">
      <c r="B95" s="17"/>
      <c r="C95" s="15"/>
      <c r="D95" s="22"/>
      <c r="E95" s="18"/>
      <c r="F95" s="19" t="str">
        <f t="shared" si="8"/>
        <v/>
      </c>
      <c r="G95" s="41"/>
      <c r="H95" s="41"/>
      <c r="I95" s="20"/>
      <c r="J95" s="18"/>
      <c r="K95" s="19" t="str">
        <f t="shared" si="10"/>
        <v/>
      </c>
      <c r="L95" s="20"/>
      <c r="M95" s="18"/>
      <c r="N95" s="21" t="str">
        <f t="shared" si="11"/>
        <v/>
      </c>
      <c r="O95" s="48"/>
      <c r="P95" s="49"/>
      <c r="Q95" s="49"/>
      <c r="R95" s="49"/>
      <c r="S95" s="49"/>
      <c r="T95" s="49"/>
      <c r="U95" s="49"/>
      <c r="V95" s="50">
        <f t="shared" si="12"/>
        <v>0</v>
      </c>
      <c r="W95" s="16"/>
      <c r="X95" s="23"/>
      <c r="Y95" s="51"/>
      <c r="AA95" s="94"/>
      <c r="AC95" s="98" t="str">
        <f t="shared" si="9"/>
        <v/>
      </c>
    </row>
    <row r="96" spans="2:29" ht="15" customHeight="1" x14ac:dyDescent="0.15">
      <c r="B96" s="17"/>
      <c r="C96" s="15"/>
      <c r="D96" s="22"/>
      <c r="E96" s="18"/>
      <c r="F96" s="19" t="str">
        <f t="shared" si="8"/>
        <v/>
      </c>
      <c r="G96" s="41"/>
      <c r="H96" s="41"/>
      <c r="I96" s="20"/>
      <c r="J96" s="18"/>
      <c r="K96" s="19" t="str">
        <f t="shared" si="10"/>
        <v/>
      </c>
      <c r="L96" s="20"/>
      <c r="M96" s="18"/>
      <c r="N96" s="21" t="str">
        <f t="shared" si="11"/>
        <v/>
      </c>
      <c r="O96" s="48"/>
      <c r="P96" s="49"/>
      <c r="Q96" s="49"/>
      <c r="R96" s="49"/>
      <c r="S96" s="49"/>
      <c r="T96" s="49"/>
      <c r="U96" s="49"/>
      <c r="V96" s="50">
        <f t="shared" si="12"/>
        <v>0</v>
      </c>
      <c r="W96" s="16"/>
      <c r="X96" s="23"/>
      <c r="Y96" s="51"/>
      <c r="AA96" s="94"/>
      <c r="AC96" s="98" t="str">
        <f t="shared" si="9"/>
        <v/>
      </c>
    </row>
    <row r="97" spans="2:29" ht="15" customHeight="1" x14ac:dyDescent="0.15">
      <c r="B97" s="17"/>
      <c r="C97" s="15"/>
      <c r="D97" s="22"/>
      <c r="E97" s="18"/>
      <c r="F97" s="19" t="str">
        <f t="shared" si="8"/>
        <v/>
      </c>
      <c r="G97" s="41"/>
      <c r="H97" s="41"/>
      <c r="I97" s="20"/>
      <c r="J97" s="18"/>
      <c r="K97" s="19" t="str">
        <f t="shared" si="10"/>
        <v/>
      </c>
      <c r="L97" s="20"/>
      <c r="M97" s="18"/>
      <c r="N97" s="21" t="str">
        <f t="shared" si="11"/>
        <v/>
      </c>
      <c r="O97" s="48"/>
      <c r="P97" s="49"/>
      <c r="Q97" s="49"/>
      <c r="R97" s="49"/>
      <c r="S97" s="49"/>
      <c r="T97" s="49"/>
      <c r="U97" s="49"/>
      <c r="V97" s="50">
        <f t="shared" si="12"/>
        <v>0</v>
      </c>
      <c r="W97" s="16"/>
      <c r="X97" s="23"/>
      <c r="Y97" s="51"/>
      <c r="AA97" s="94"/>
      <c r="AC97" s="98" t="str">
        <f t="shared" si="9"/>
        <v/>
      </c>
    </row>
    <row r="98" spans="2:29" ht="15" customHeight="1" x14ac:dyDescent="0.15">
      <c r="B98" s="17"/>
      <c r="C98" s="15"/>
      <c r="D98" s="22"/>
      <c r="E98" s="18"/>
      <c r="F98" s="19" t="str">
        <f t="shared" si="8"/>
        <v/>
      </c>
      <c r="G98" s="41"/>
      <c r="H98" s="41"/>
      <c r="I98" s="20"/>
      <c r="J98" s="18"/>
      <c r="K98" s="19" t="str">
        <f t="shared" si="10"/>
        <v/>
      </c>
      <c r="L98" s="20"/>
      <c r="M98" s="18"/>
      <c r="N98" s="21" t="str">
        <f t="shared" si="11"/>
        <v/>
      </c>
      <c r="O98" s="48"/>
      <c r="P98" s="49"/>
      <c r="Q98" s="49"/>
      <c r="R98" s="49"/>
      <c r="S98" s="49"/>
      <c r="T98" s="49"/>
      <c r="U98" s="49"/>
      <c r="V98" s="50">
        <f t="shared" si="12"/>
        <v>0</v>
      </c>
      <c r="W98" s="16"/>
      <c r="X98" s="23"/>
      <c r="Y98" s="51"/>
      <c r="AA98" s="94"/>
      <c r="AC98" s="98" t="str">
        <f t="shared" si="9"/>
        <v/>
      </c>
    </row>
    <row r="99" spans="2:29" ht="15" customHeight="1" x14ac:dyDescent="0.15">
      <c r="B99" s="17"/>
      <c r="C99" s="15"/>
      <c r="D99" s="22"/>
      <c r="E99" s="18"/>
      <c r="F99" s="19" t="str">
        <f t="shared" si="8"/>
        <v/>
      </c>
      <c r="G99" s="41"/>
      <c r="H99" s="41"/>
      <c r="I99" s="20"/>
      <c r="J99" s="18"/>
      <c r="K99" s="19" t="str">
        <f t="shared" si="10"/>
        <v/>
      </c>
      <c r="L99" s="20"/>
      <c r="M99" s="18"/>
      <c r="N99" s="21" t="str">
        <f t="shared" si="11"/>
        <v/>
      </c>
      <c r="O99" s="48"/>
      <c r="P99" s="49"/>
      <c r="Q99" s="49"/>
      <c r="R99" s="49"/>
      <c r="S99" s="49"/>
      <c r="T99" s="49"/>
      <c r="U99" s="49"/>
      <c r="V99" s="50">
        <f t="shared" si="12"/>
        <v>0</v>
      </c>
      <c r="W99" s="16"/>
      <c r="X99" s="23"/>
      <c r="Y99" s="51"/>
      <c r="AA99" s="94"/>
      <c r="AC99" s="98" t="str">
        <f t="shared" si="9"/>
        <v/>
      </c>
    </row>
    <row r="100" spans="2:29" ht="15" customHeight="1" x14ac:dyDescent="0.15">
      <c r="B100" s="17"/>
      <c r="C100" s="15"/>
      <c r="D100" s="22"/>
      <c r="E100" s="18"/>
      <c r="F100" s="19" t="str">
        <f t="shared" si="8"/>
        <v/>
      </c>
      <c r="G100" s="41"/>
      <c r="H100" s="41"/>
      <c r="I100" s="20"/>
      <c r="J100" s="18"/>
      <c r="K100" s="19" t="str">
        <f t="shared" si="10"/>
        <v/>
      </c>
      <c r="L100" s="20"/>
      <c r="M100" s="18"/>
      <c r="N100" s="21" t="str">
        <f t="shared" si="11"/>
        <v/>
      </c>
      <c r="O100" s="48"/>
      <c r="P100" s="49"/>
      <c r="Q100" s="49"/>
      <c r="R100" s="49"/>
      <c r="S100" s="49"/>
      <c r="T100" s="49"/>
      <c r="U100" s="49"/>
      <c r="V100" s="50">
        <f t="shared" si="12"/>
        <v>0</v>
      </c>
      <c r="W100" s="16"/>
      <c r="X100" s="23"/>
      <c r="Y100" s="51"/>
      <c r="AA100" s="94"/>
      <c r="AC100" s="98" t="str">
        <f t="shared" si="9"/>
        <v/>
      </c>
    </row>
    <row r="101" spans="2:29" ht="15" customHeight="1" x14ac:dyDescent="0.15">
      <c r="B101" s="17"/>
      <c r="C101" s="15"/>
      <c r="D101" s="22"/>
      <c r="E101" s="18"/>
      <c r="F101" s="19" t="str">
        <f t="shared" si="8"/>
        <v/>
      </c>
      <c r="G101" s="41"/>
      <c r="H101" s="41"/>
      <c r="I101" s="20"/>
      <c r="J101" s="18"/>
      <c r="K101" s="19" t="str">
        <f t="shared" si="10"/>
        <v/>
      </c>
      <c r="L101" s="20"/>
      <c r="M101" s="18"/>
      <c r="N101" s="21" t="str">
        <f t="shared" si="11"/>
        <v/>
      </c>
      <c r="O101" s="48"/>
      <c r="P101" s="49"/>
      <c r="Q101" s="49"/>
      <c r="R101" s="49"/>
      <c r="S101" s="49"/>
      <c r="T101" s="49"/>
      <c r="U101" s="49"/>
      <c r="V101" s="50">
        <f t="shared" si="12"/>
        <v>0</v>
      </c>
      <c r="W101" s="16"/>
      <c r="X101" s="23"/>
      <c r="Y101" s="51"/>
      <c r="AA101" s="94"/>
      <c r="AC101" s="98" t="str">
        <f t="shared" si="9"/>
        <v/>
      </c>
    </row>
    <row r="102" spans="2:29" ht="15" customHeight="1" x14ac:dyDescent="0.15">
      <c r="B102" s="17"/>
      <c r="C102" s="15"/>
      <c r="D102" s="22"/>
      <c r="E102" s="18"/>
      <c r="F102" s="19" t="str">
        <f t="shared" si="8"/>
        <v/>
      </c>
      <c r="G102" s="41"/>
      <c r="H102" s="41"/>
      <c r="I102" s="20"/>
      <c r="J102" s="18"/>
      <c r="K102" s="19" t="str">
        <f t="shared" si="10"/>
        <v/>
      </c>
      <c r="L102" s="20"/>
      <c r="M102" s="18"/>
      <c r="N102" s="21" t="str">
        <f t="shared" si="11"/>
        <v/>
      </c>
      <c r="O102" s="48"/>
      <c r="P102" s="49"/>
      <c r="Q102" s="49"/>
      <c r="R102" s="49"/>
      <c r="S102" s="49"/>
      <c r="T102" s="49"/>
      <c r="U102" s="49"/>
      <c r="V102" s="50">
        <f t="shared" si="12"/>
        <v>0</v>
      </c>
      <c r="W102" s="16"/>
      <c r="X102" s="23"/>
      <c r="Y102" s="51"/>
      <c r="AA102" s="94"/>
      <c r="AC102" s="98" t="str">
        <f t="shared" si="9"/>
        <v/>
      </c>
    </row>
    <row r="103" spans="2:29" ht="15" customHeight="1" x14ac:dyDescent="0.15">
      <c r="B103" s="17"/>
      <c r="C103" s="15"/>
      <c r="D103" s="22"/>
      <c r="E103" s="18"/>
      <c r="F103" s="19" t="str">
        <f t="shared" si="8"/>
        <v/>
      </c>
      <c r="G103" s="41"/>
      <c r="H103" s="41"/>
      <c r="I103" s="20"/>
      <c r="J103" s="18"/>
      <c r="K103" s="19" t="str">
        <f t="shared" si="10"/>
        <v/>
      </c>
      <c r="L103" s="20"/>
      <c r="M103" s="18"/>
      <c r="N103" s="21" t="str">
        <f t="shared" si="11"/>
        <v/>
      </c>
      <c r="O103" s="48"/>
      <c r="P103" s="49"/>
      <c r="Q103" s="49"/>
      <c r="R103" s="49"/>
      <c r="S103" s="49"/>
      <c r="T103" s="49"/>
      <c r="U103" s="49"/>
      <c r="V103" s="50">
        <f t="shared" si="12"/>
        <v>0</v>
      </c>
      <c r="W103" s="16"/>
      <c r="X103" s="23"/>
      <c r="Y103" s="51"/>
      <c r="AA103" s="94"/>
      <c r="AC103" s="98" t="str">
        <f t="shared" si="9"/>
        <v/>
      </c>
    </row>
    <row r="104" spans="2:29" ht="15" customHeight="1" x14ac:dyDescent="0.15">
      <c r="B104" s="17"/>
      <c r="C104" s="15"/>
      <c r="D104" s="22"/>
      <c r="E104" s="18"/>
      <c r="F104" s="19" t="str">
        <f t="shared" si="8"/>
        <v/>
      </c>
      <c r="G104" s="41"/>
      <c r="H104" s="41"/>
      <c r="I104" s="20"/>
      <c r="J104" s="18"/>
      <c r="K104" s="19" t="str">
        <f t="shared" si="10"/>
        <v/>
      </c>
      <c r="L104" s="20"/>
      <c r="M104" s="18"/>
      <c r="N104" s="21" t="str">
        <f t="shared" si="11"/>
        <v/>
      </c>
      <c r="O104" s="48"/>
      <c r="P104" s="49"/>
      <c r="Q104" s="49"/>
      <c r="R104" s="49"/>
      <c r="S104" s="49"/>
      <c r="T104" s="49"/>
      <c r="U104" s="49"/>
      <c r="V104" s="50">
        <f t="shared" si="12"/>
        <v>0</v>
      </c>
      <c r="W104" s="16"/>
      <c r="X104" s="23"/>
      <c r="Y104" s="51"/>
      <c r="AA104" s="94"/>
      <c r="AC104" s="98" t="str">
        <f t="shared" si="9"/>
        <v/>
      </c>
    </row>
    <row r="105" spans="2:29" ht="15" customHeight="1" x14ac:dyDescent="0.15">
      <c r="B105" s="17"/>
      <c r="C105" s="15"/>
      <c r="D105" s="22"/>
      <c r="E105" s="18"/>
      <c r="F105" s="19" t="str">
        <f t="shared" si="8"/>
        <v/>
      </c>
      <c r="G105" s="41"/>
      <c r="H105" s="41"/>
      <c r="I105" s="20"/>
      <c r="J105" s="18"/>
      <c r="K105" s="19" t="str">
        <f t="shared" si="10"/>
        <v/>
      </c>
      <c r="L105" s="20"/>
      <c r="M105" s="18"/>
      <c r="N105" s="21" t="str">
        <f t="shared" si="11"/>
        <v/>
      </c>
      <c r="O105" s="48"/>
      <c r="P105" s="49"/>
      <c r="Q105" s="49"/>
      <c r="R105" s="49"/>
      <c r="S105" s="49"/>
      <c r="T105" s="49"/>
      <c r="U105" s="49"/>
      <c r="V105" s="50">
        <f t="shared" si="12"/>
        <v>0</v>
      </c>
      <c r="W105" s="16"/>
      <c r="X105" s="23"/>
      <c r="Y105" s="51"/>
      <c r="AA105" s="94"/>
      <c r="AC105" s="98" t="str">
        <f t="shared" si="9"/>
        <v/>
      </c>
    </row>
    <row r="106" spans="2:29" ht="15" customHeight="1" x14ac:dyDescent="0.15">
      <c r="B106" s="17"/>
      <c r="C106" s="15"/>
      <c r="D106" s="22"/>
      <c r="E106" s="18"/>
      <c r="F106" s="19" t="str">
        <f t="shared" si="8"/>
        <v/>
      </c>
      <c r="G106" s="41"/>
      <c r="H106" s="41"/>
      <c r="I106" s="20"/>
      <c r="J106" s="18"/>
      <c r="K106" s="19" t="str">
        <f t="shared" si="10"/>
        <v/>
      </c>
      <c r="L106" s="20"/>
      <c r="M106" s="18"/>
      <c r="N106" s="21" t="str">
        <f t="shared" si="11"/>
        <v/>
      </c>
      <c r="O106" s="48"/>
      <c r="P106" s="49"/>
      <c r="Q106" s="49"/>
      <c r="R106" s="49"/>
      <c r="S106" s="49"/>
      <c r="T106" s="49"/>
      <c r="U106" s="49"/>
      <c r="V106" s="50">
        <f t="shared" si="12"/>
        <v>0</v>
      </c>
      <c r="W106" s="16"/>
      <c r="X106" s="23"/>
      <c r="Y106" s="51"/>
      <c r="AA106" s="94"/>
      <c r="AC106" s="98" t="str">
        <f t="shared" si="9"/>
        <v/>
      </c>
    </row>
    <row r="107" spans="2:29" ht="15" customHeight="1" x14ac:dyDescent="0.15">
      <c r="B107" s="17"/>
      <c r="C107" s="15"/>
      <c r="D107" s="22"/>
      <c r="E107" s="18"/>
      <c r="F107" s="19" t="str">
        <f t="shared" si="8"/>
        <v/>
      </c>
      <c r="G107" s="41"/>
      <c r="H107" s="41"/>
      <c r="I107" s="20"/>
      <c r="J107" s="18"/>
      <c r="K107" s="19" t="str">
        <f t="shared" si="10"/>
        <v/>
      </c>
      <c r="L107" s="20"/>
      <c r="M107" s="18"/>
      <c r="N107" s="21" t="str">
        <f t="shared" si="11"/>
        <v/>
      </c>
      <c r="O107" s="48"/>
      <c r="P107" s="49"/>
      <c r="Q107" s="49"/>
      <c r="R107" s="49"/>
      <c r="S107" s="49"/>
      <c r="T107" s="49"/>
      <c r="U107" s="49"/>
      <c r="V107" s="50">
        <f t="shared" si="12"/>
        <v>0</v>
      </c>
      <c r="W107" s="16"/>
      <c r="X107" s="23"/>
      <c r="Y107" s="51"/>
      <c r="AA107" s="94"/>
      <c r="AC107" s="98" t="str">
        <f t="shared" si="9"/>
        <v/>
      </c>
    </row>
    <row r="108" spans="2:29" ht="15" customHeight="1" x14ac:dyDescent="0.15">
      <c r="B108" s="17"/>
      <c r="C108" s="15"/>
      <c r="D108" s="22"/>
      <c r="E108" s="18"/>
      <c r="F108" s="19" t="str">
        <f t="shared" si="8"/>
        <v/>
      </c>
      <c r="G108" s="41"/>
      <c r="H108" s="41"/>
      <c r="I108" s="20"/>
      <c r="J108" s="18"/>
      <c r="K108" s="19" t="str">
        <f t="shared" si="10"/>
        <v/>
      </c>
      <c r="L108" s="20"/>
      <c r="M108" s="18"/>
      <c r="N108" s="21" t="str">
        <f t="shared" si="11"/>
        <v/>
      </c>
      <c r="O108" s="48"/>
      <c r="P108" s="49"/>
      <c r="Q108" s="49"/>
      <c r="R108" s="49"/>
      <c r="S108" s="49"/>
      <c r="T108" s="49"/>
      <c r="U108" s="49"/>
      <c r="V108" s="50">
        <f t="shared" si="12"/>
        <v>0</v>
      </c>
      <c r="W108" s="16"/>
      <c r="X108" s="23"/>
      <c r="Y108" s="51"/>
      <c r="AA108" s="94"/>
      <c r="AC108" s="98" t="str">
        <f t="shared" si="9"/>
        <v/>
      </c>
    </row>
    <row r="109" spans="2:29" ht="15" customHeight="1" x14ac:dyDescent="0.15">
      <c r="B109" s="17"/>
      <c r="C109" s="15"/>
      <c r="D109" s="22"/>
      <c r="E109" s="18"/>
      <c r="F109" s="19" t="str">
        <f t="shared" si="8"/>
        <v/>
      </c>
      <c r="G109" s="41"/>
      <c r="H109" s="41"/>
      <c r="I109" s="20"/>
      <c r="J109" s="18"/>
      <c r="K109" s="19" t="str">
        <f t="shared" si="10"/>
        <v/>
      </c>
      <c r="L109" s="20"/>
      <c r="M109" s="18"/>
      <c r="N109" s="21" t="str">
        <f t="shared" si="11"/>
        <v/>
      </c>
      <c r="O109" s="48"/>
      <c r="P109" s="49"/>
      <c r="Q109" s="49"/>
      <c r="R109" s="49"/>
      <c r="S109" s="49"/>
      <c r="T109" s="49"/>
      <c r="U109" s="49"/>
      <c r="V109" s="50">
        <f t="shared" si="12"/>
        <v>0</v>
      </c>
      <c r="W109" s="16"/>
      <c r="X109" s="23"/>
      <c r="Y109" s="51"/>
      <c r="AA109" s="94"/>
      <c r="AC109" s="98" t="str">
        <f t="shared" si="9"/>
        <v/>
      </c>
    </row>
    <row r="110" spans="2:29" ht="15" customHeight="1" x14ac:dyDescent="0.15">
      <c r="B110" s="17"/>
      <c r="C110" s="15"/>
      <c r="D110" s="22"/>
      <c r="E110" s="18"/>
      <c r="F110" s="19" t="str">
        <f t="shared" si="8"/>
        <v/>
      </c>
      <c r="G110" s="41"/>
      <c r="H110" s="41"/>
      <c r="I110" s="20"/>
      <c r="J110" s="18"/>
      <c r="K110" s="19" t="str">
        <f t="shared" si="10"/>
        <v/>
      </c>
      <c r="L110" s="20"/>
      <c r="M110" s="18"/>
      <c r="N110" s="21" t="str">
        <f t="shared" si="11"/>
        <v/>
      </c>
      <c r="O110" s="48"/>
      <c r="P110" s="49"/>
      <c r="Q110" s="49"/>
      <c r="R110" s="49"/>
      <c r="S110" s="49"/>
      <c r="T110" s="49"/>
      <c r="U110" s="49"/>
      <c r="V110" s="50">
        <f t="shared" si="12"/>
        <v>0</v>
      </c>
      <c r="W110" s="16"/>
      <c r="X110" s="23"/>
      <c r="Y110" s="51"/>
      <c r="AA110" s="94"/>
      <c r="AC110" s="98" t="str">
        <f t="shared" si="9"/>
        <v/>
      </c>
    </row>
    <row r="111" spans="2:29" ht="15" customHeight="1" x14ac:dyDescent="0.15">
      <c r="B111" s="17"/>
      <c r="C111" s="15"/>
      <c r="D111" s="22"/>
      <c r="E111" s="18"/>
      <c r="F111" s="19" t="str">
        <f t="shared" si="8"/>
        <v/>
      </c>
      <c r="G111" s="41"/>
      <c r="H111" s="41"/>
      <c r="I111" s="20"/>
      <c r="J111" s="18"/>
      <c r="K111" s="19" t="str">
        <f t="shared" si="10"/>
        <v/>
      </c>
      <c r="L111" s="20"/>
      <c r="M111" s="18"/>
      <c r="N111" s="21" t="str">
        <f t="shared" si="11"/>
        <v/>
      </c>
      <c r="O111" s="48"/>
      <c r="P111" s="49"/>
      <c r="Q111" s="49"/>
      <c r="R111" s="49"/>
      <c r="S111" s="49"/>
      <c r="T111" s="49"/>
      <c r="U111" s="49"/>
      <c r="V111" s="50">
        <f t="shared" si="12"/>
        <v>0</v>
      </c>
      <c r="W111" s="16"/>
      <c r="X111" s="23"/>
      <c r="Y111" s="51"/>
      <c r="AA111" s="94"/>
      <c r="AC111" s="98" t="str">
        <f t="shared" si="9"/>
        <v/>
      </c>
    </row>
    <row r="112" spans="2:29" ht="15" customHeight="1" x14ac:dyDescent="0.15">
      <c r="B112" s="53"/>
      <c r="C112" s="54"/>
      <c r="D112" s="55"/>
      <c r="E112" s="56"/>
      <c r="F112" s="57" t="str">
        <f t="shared" si="8"/>
        <v/>
      </c>
      <c r="G112" s="58"/>
      <c r="H112" s="58"/>
      <c r="I112" s="59"/>
      <c r="J112" s="56"/>
      <c r="K112" s="57" t="str">
        <f t="shared" si="10"/>
        <v/>
      </c>
      <c r="L112" s="59"/>
      <c r="M112" s="56"/>
      <c r="N112" s="60" t="str">
        <f t="shared" si="11"/>
        <v/>
      </c>
      <c r="O112" s="67"/>
      <c r="P112" s="68"/>
      <c r="Q112" s="68"/>
      <c r="R112" s="68"/>
      <c r="S112" s="68"/>
      <c r="T112" s="68"/>
      <c r="U112" s="68"/>
      <c r="V112" s="69">
        <f t="shared" si="12"/>
        <v>0</v>
      </c>
      <c r="W112" s="61"/>
      <c r="X112" s="62"/>
      <c r="Y112" s="63"/>
      <c r="AA112" s="94"/>
      <c r="AC112" s="98" t="str">
        <f t="shared" si="9"/>
        <v/>
      </c>
    </row>
    <row r="113" spans="2:29" ht="24.95" customHeight="1" thickBot="1" x14ac:dyDescent="0.2">
      <c r="B113" s="75"/>
      <c r="C113" s="96"/>
      <c r="D113" s="74"/>
      <c r="E113" s="1"/>
      <c r="F113" s="2"/>
      <c r="G113" s="2"/>
      <c r="H113" s="2"/>
      <c r="I113" s="2"/>
      <c r="J113" s="2"/>
      <c r="K113" s="2"/>
      <c r="L113" s="2"/>
      <c r="M113" s="1"/>
      <c r="N113" s="3"/>
      <c r="O113" s="64"/>
      <c r="P113" s="65"/>
      <c r="Q113" s="65"/>
      <c r="R113" s="65"/>
      <c r="S113" s="65"/>
      <c r="T113" s="65"/>
      <c r="U113" s="65"/>
      <c r="V113" s="66">
        <f t="shared" ref="V113" si="13">SUM(V66:V112)</f>
        <v>0</v>
      </c>
      <c r="W113" s="73"/>
      <c r="X113" s="4"/>
      <c r="Y113" s="52"/>
      <c r="AA113" s="92"/>
      <c r="AC113" s="99"/>
    </row>
    <row r="114" spans="2:29" ht="24.95" customHeight="1" thickBot="1" x14ac:dyDescent="0.2">
      <c r="B114" s="71"/>
      <c r="C114" s="95" t="str">
        <f>COUNTA(C7:C52,C66:C112) &amp; "名"</f>
        <v>45名</v>
      </c>
      <c r="D114" s="70" t="s">
        <v>45</v>
      </c>
      <c r="E114" s="24"/>
      <c r="F114" s="24"/>
      <c r="G114" s="24"/>
      <c r="H114" s="24"/>
      <c r="I114" s="24"/>
      <c r="J114" s="24"/>
      <c r="K114" s="24"/>
      <c r="L114" s="24"/>
      <c r="M114" s="24"/>
      <c r="N114" s="25"/>
      <c r="O114" s="26">
        <f>O54+O113</f>
        <v>0</v>
      </c>
      <c r="P114" s="27">
        <f t="shared" ref="P114:V114" si="14">P54+P113</f>
        <v>0</v>
      </c>
      <c r="Q114" s="27">
        <f t="shared" si="14"/>
        <v>0</v>
      </c>
      <c r="R114" s="27">
        <f t="shared" si="14"/>
        <v>0</v>
      </c>
      <c r="S114" s="27">
        <f t="shared" si="14"/>
        <v>0</v>
      </c>
      <c r="T114" s="27">
        <f t="shared" si="14"/>
        <v>0</v>
      </c>
      <c r="U114" s="27">
        <f t="shared" si="14"/>
        <v>0</v>
      </c>
      <c r="V114" s="28">
        <f t="shared" si="14"/>
        <v>0</v>
      </c>
      <c r="W114" s="72"/>
      <c r="X114" s="29"/>
      <c r="Y114" s="43"/>
      <c r="AA114" s="93"/>
      <c r="AC114" s="99"/>
    </row>
    <row r="115" spans="2:29" ht="15" customHeight="1" x14ac:dyDescent="0.15"/>
  </sheetData>
  <sortState xmlns:xlrd2="http://schemas.microsoft.com/office/spreadsheetml/2017/richdata2" ref="B8:X54">
    <sortCondition ref="C7"/>
  </sortState>
  <mergeCells count="17">
    <mergeCell ref="E64:F64"/>
    <mergeCell ref="J64:K64"/>
    <mergeCell ref="M64:N64"/>
    <mergeCell ref="U63:V63"/>
    <mergeCell ref="AE4:AH4"/>
    <mergeCell ref="AI4:AL4"/>
    <mergeCell ref="AM4:AP4"/>
    <mergeCell ref="W63:X63"/>
    <mergeCell ref="B3:F4"/>
    <mergeCell ref="W4:X4"/>
    <mergeCell ref="U4:V4"/>
    <mergeCell ref="H3:R4"/>
    <mergeCell ref="E5:F5"/>
    <mergeCell ref="J5:K5"/>
    <mergeCell ref="M5:N5"/>
    <mergeCell ref="B62:F63"/>
    <mergeCell ref="H62:R63"/>
  </mergeCells>
  <phoneticPr fontId="3"/>
  <pageMargins left="0.59055118110236227" right="0" top="0.39370078740157483" bottom="0.19685039370078741" header="0" footer="0"/>
  <pageSetup paperSize="9" scale="70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ack_Menu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57150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個別印刷A4">
                <anchor>
                  <from>
                    <xdr:col>3</xdr:col>
                    <xdr:colOff>276225</xdr:colOff>
                    <xdr:row>0</xdr:row>
                    <xdr:rowOff>0</xdr:rowOff>
                  </from>
                  <to>
                    <xdr:col>3</xdr:col>
                    <xdr:colOff>876300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社員更新">
                <anchor>
                  <from>
                    <xdr:col>6</xdr:col>
                    <xdr:colOff>923925</xdr:colOff>
                    <xdr:row>0</xdr:row>
                    <xdr:rowOff>0</xdr:rowOff>
                  </from>
                  <to>
                    <xdr:col>7</xdr:col>
                    <xdr:colOff>581025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個別印刷年齢付">
                <anchor>
                  <from>
                    <xdr:col>6</xdr:col>
                    <xdr:colOff>228600</xdr:colOff>
                    <xdr:row>0</xdr:row>
                    <xdr:rowOff>0</xdr:rowOff>
                  </from>
                  <to>
                    <xdr:col>6</xdr:col>
                    <xdr:colOff>838200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Get_Data">
                <anchor>
                  <from>
                    <xdr:col>2</xdr:col>
                    <xdr:colOff>114300</xdr:colOff>
                    <xdr:row>0</xdr:row>
                    <xdr:rowOff>0</xdr:rowOff>
                  </from>
                  <to>
                    <xdr:col>3</xdr:col>
                    <xdr:colOff>209550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終了処理">
                <anchor>
                  <from>
                    <xdr:col>8</xdr:col>
                    <xdr:colOff>9525</xdr:colOff>
                    <xdr:row>0</xdr:row>
                    <xdr:rowOff>0</xdr:rowOff>
                  </from>
                  <to>
                    <xdr:col>10</xdr:col>
                    <xdr:colOff>57150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個別印刷B4">
                <anchor>
                  <from>
                    <xdr:col>3</xdr:col>
                    <xdr:colOff>962025</xdr:colOff>
                    <xdr:row>0</xdr:row>
                    <xdr:rowOff>0</xdr:rowOff>
                  </from>
                  <to>
                    <xdr:col>6</xdr:col>
                    <xdr:colOff>123825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17"/>
    <pageSetUpPr fitToPage="1"/>
  </sheetPr>
  <dimension ref="A1:V152"/>
  <sheetViews>
    <sheetView showGridLines="0" showRowColHeaders="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L48" sqref="L48"/>
    </sheetView>
  </sheetViews>
  <sheetFormatPr defaultRowHeight="13.5" x14ac:dyDescent="0.15"/>
  <cols>
    <col min="1" max="1" width="5.25" style="131" bestFit="1" customWidth="1"/>
    <col min="2" max="2" width="8.625" style="135" bestFit="1" customWidth="1"/>
    <col min="3" max="3" width="12.375" style="131" bestFit="1" customWidth="1"/>
    <col min="4" max="4" width="2.75" style="132" bestFit="1" customWidth="1"/>
    <col min="5" max="5" width="5.25" style="132" bestFit="1" customWidth="1"/>
    <col min="6" max="6" width="9.25" style="133" bestFit="1" customWidth="1"/>
    <col min="7" max="9" width="9.125" style="133" bestFit="1" customWidth="1"/>
    <col min="10" max="10" width="9" style="134"/>
    <col min="11" max="11" width="12.625" style="132" customWidth="1"/>
    <col min="12" max="12" width="9" style="134"/>
    <col min="13" max="13" width="12.625" style="135" customWidth="1"/>
    <col min="14" max="14" width="9" style="131"/>
    <col min="15" max="15" width="2.5" style="131" bestFit="1" customWidth="1"/>
    <col min="16" max="16" width="5.875" style="131" bestFit="1" customWidth="1"/>
    <col min="17" max="18" width="9" style="131"/>
    <col min="19" max="19" width="3.5" style="135" bestFit="1" customWidth="1"/>
    <col min="20" max="20" width="12.375" style="135" bestFit="1" customWidth="1"/>
    <col min="21" max="21" width="9" style="131"/>
    <col min="22" max="22" width="16.75" style="131" bestFit="1" customWidth="1"/>
    <col min="23" max="16384" width="9" style="131"/>
  </cols>
  <sheetData>
    <row r="1" spans="1:22" ht="15" customHeight="1" x14ac:dyDescent="0.15">
      <c r="A1" s="429" t="s">
        <v>54</v>
      </c>
      <c r="B1" s="429"/>
    </row>
    <row r="2" spans="1:22" x14ac:dyDescent="0.15">
      <c r="O2" s="136">
        <v>2</v>
      </c>
      <c r="P2" s="137" t="s">
        <v>74</v>
      </c>
      <c r="Q2" s="137" t="s">
        <v>81</v>
      </c>
      <c r="R2" s="137" t="s">
        <v>387</v>
      </c>
      <c r="S2" s="136" t="s">
        <v>55</v>
      </c>
      <c r="T2" s="138" t="s">
        <v>57</v>
      </c>
      <c r="U2" s="136" t="s">
        <v>58</v>
      </c>
      <c r="V2" s="136" t="s">
        <v>240</v>
      </c>
    </row>
    <row r="3" spans="1:22" x14ac:dyDescent="0.15">
      <c r="A3" s="139" t="s">
        <v>59</v>
      </c>
      <c r="B3" s="140" t="s">
        <v>60</v>
      </c>
      <c r="C3" s="139" t="s">
        <v>61</v>
      </c>
      <c r="D3" s="139" t="s">
        <v>62</v>
      </c>
      <c r="E3" s="139" t="s">
        <v>63</v>
      </c>
      <c r="F3" s="141" t="s">
        <v>64</v>
      </c>
      <c r="G3" s="141" t="s">
        <v>65</v>
      </c>
      <c r="H3" s="141" t="s">
        <v>66</v>
      </c>
      <c r="I3" s="141" t="s">
        <v>67</v>
      </c>
      <c r="J3" s="142" t="s">
        <v>68</v>
      </c>
      <c r="K3" s="143" t="s">
        <v>69</v>
      </c>
      <c r="L3" s="142" t="s">
        <v>70</v>
      </c>
      <c r="M3" s="142" t="s">
        <v>71</v>
      </c>
      <c r="O3" s="136" t="s">
        <v>72</v>
      </c>
      <c r="P3" s="136" t="s">
        <v>55</v>
      </c>
      <c r="Q3" s="137" t="s">
        <v>56</v>
      </c>
      <c r="R3" s="137" t="s">
        <v>73</v>
      </c>
      <c r="S3" s="136" t="s">
        <v>74</v>
      </c>
      <c r="T3" s="138" t="s">
        <v>75</v>
      </c>
      <c r="U3" s="136" t="s">
        <v>76</v>
      </c>
      <c r="V3" s="136" t="s">
        <v>291</v>
      </c>
    </row>
    <row r="4" spans="1:22" x14ac:dyDescent="0.15">
      <c r="A4" s="137" t="s">
        <v>343</v>
      </c>
      <c r="B4" s="136" t="s">
        <v>350</v>
      </c>
      <c r="C4" s="137" t="s">
        <v>403</v>
      </c>
      <c r="D4" s="144" t="s">
        <v>0</v>
      </c>
      <c r="E4" s="144" t="s">
        <v>98</v>
      </c>
      <c r="F4" s="145">
        <v>252680</v>
      </c>
      <c r="G4" s="145">
        <v>41620</v>
      </c>
      <c r="H4" s="145">
        <v>15000</v>
      </c>
      <c r="I4" s="145">
        <v>0</v>
      </c>
      <c r="J4" s="146" t="s">
        <v>325</v>
      </c>
      <c r="K4" s="144" t="str">
        <f>IF(J4="","",VLOOKUP(J4,$S$2:$T$6,2,FALSE))</f>
        <v>管理部門</v>
      </c>
      <c r="L4" s="146" t="s">
        <v>120</v>
      </c>
      <c r="M4" s="147" t="str">
        <f>IF(L4="","",VLOOKUP(L4,$U$2:$V$51,2,FALSE))</f>
        <v>東京一般</v>
      </c>
      <c r="O4" s="136" t="s">
        <v>79</v>
      </c>
      <c r="P4" s="136" t="s">
        <v>80</v>
      </c>
      <c r="Q4" s="137" t="s">
        <v>81</v>
      </c>
      <c r="R4" s="137" t="s">
        <v>82</v>
      </c>
      <c r="S4" s="136" t="s">
        <v>83</v>
      </c>
      <c r="T4" s="138" t="s">
        <v>84</v>
      </c>
      <c r="U4" s="136" t="s">
        <v>78</v>
      </c>
      <c r="V4" s="136" t="s">
        <v>297</v>
      </c>
    </row>
    <row r="5" spans="1:22" x14ac:dyDescent="0.15">
      <c r="A5" s="137" t="s">
        <v>343</v>
      </c>
      <c r="B5" s="136" t="s">
        <v>380</v>
      </c>
      <c r="C5" s="137" t="s">
        <v>433</v>
      </c>
      <c r="D5" s="144" t="s">
        <v>336</v>
      </c>
      <c r="E5" s="144" t="s">
        <v>233</v>
      </c>
      <c r="F5" s="145">
        <v>168000</v>
      </c>
      <c r="G5" s="145">
        <v>0</v>
      </c>
      <c r="H5" s="145">
        <v>0</v>
      </c>
      <c r="I5" s="145">
        <v>0</v>
      </c>
      <c r="J5" s="146" t="s">
        <v>325</v>
      </c>
      <c r="K5" s="144" t="str">
        <f t="shared" ref="K5:K67" si="0">IF(J5="","",VLOOKUP(J5,$S$2:$T$6,2,FALSE))</f>
        <v>管理部門</v>
      </c>
      <c r="L5" s="146" t="s">
        <v>121</v>
      </c>
      <c r="M5" s="147" t="str">
        <f t="shared" ref="M5:M68" si="1">IF(L5="","",VLOOKUP(L5,$U$2:$V$51,2,FALSE))</f>
        <v>東京加工課</v>
      </c>
      <c r="O5" s="136" t="s">
        <v>86</v>
      </c>
      <c r="P5" s="136" t="s">
        <v>83</v>
      </c>
      <c r="Q5" s="137" t="s">
        <v>87</v>
      </c>
      <c r="R5" s="137" t="s">
        <v>88</v>
      </c>
      <c r="S5" s="136" t="s">
        <v>89</v>
      </c>
      <c r="T5" s="138" t="s">
        <v>90</v>
      </c>
      <c r="U5" s="136" t="s">
        <v>91</v>
      </c>
      <c r="V5" s="136"/>
    </row>
    <row r="6" spans="1:22" x14ac:dyDescent="0.15">
      <c r="A6" s="137" t="s">
        <v>343</v>
      </c>
      <c r="B6" s="136" t="s">
        <v>346</v>
      </c>
      <c r="C6" s="137" t="s">
        <v>398</v>
      </c>
      <c r="D6" s="144" t="s">
        <v>0</v>
      </c>
      <c r="E6" s="144" t="s">
        <v>77</v>
      </c>
      <c r="F6" s="145">
        <v>305180</v>
      </c>
      <c r="G6" s="145">
        <v>47120</v>
      </c>
      <c r="H6" s="145">
        <v>40000</v>
      </c>
      <c r="I6" s="145">
        <v>30000</v>
      </c>
      <c r="J6" s="146" t="s">
        <v>326</v>
      </c>
      <c r="K6" s="144" t="str">
        <f t="shared" si="0"/>
        <v>営業部門</v>
      </c>
      <c r="L6" s="146" t="s">
        <v>115</v>
      </c>
      <c r="M6" s="147" t="str">
        <f t="shared" si="1"/>
        <v>東京営業</v>
      </c>
      <c r="O6" s="136" t="s">
        <v>92</v>
      </c>
      <c r="P6" s="136" t="s">
        <v>89</v>
      </c>
      <c r="Q6" s="137" t="s">
        <v>93</v>
      </c>
      <c r="R6" s="137" t="s">
        <v>94</v>
      </c>
      <c r="S6" s="136" t="s">
        <v>95</v>
      </c>
      <c r="T6" s="136" t="s">
        <v>96</v>
      </c>
      <c r="U6" s="136" t="s">
        <v>97</v>
      </c>
      <c r="V6" s="136"/>
    </row>
    <row r="7" spans="1:22" x14ac:dyDescent="0.15">
      <c r="A7" s="137" t="s">
        <v>343</v>
      </c>
      <c r="B7" s="136" t="s">
        <v>347</v>
      </c>
      <c r="C7" s="137" t="s">
        <v>399</v>
      </c>
      <c r="D7" s="144" t="s">
        <v>0</v>
      </c>
      <c r="E7" s="144" t="s">
        <v>77</v>
      </c>
      <c r="F7" s="145">
        <v>282780</v>
      </c>
      <c r="G7" s="145">
        <v>44820</v>
      </c>
      <c r="H7" s="145">
        <v>30000</v>
      </c>
      <c r="I7" s="145">
        <v>13000</v>
      </c>
      <c r="J7" s="146" t="s">
        <v>326</v>
      </c>
      <c r="K7" s="144" t="str">
        <f t="shared" si="0"/>
        <v>営業部門</v>
      </c>
      <c r="L7" s="146" t="s">
        <v>115</v>
      </c>
      <c r="M7" s="147" t="str">
        <f t="shared" si="1"/>
        <v>東京営業</v>
      </c>
      <c r="O7" s="136" t="s">
        <v>99</v>
      </c>
      <c r="P7" s="136" t="s">
        <v>95</v>
      </c>
      <c r="Q7" s="137" t="s">
        <v>100</v>
      </c>
      <c r="R7" s="137" t="s">
        <v>101</v>
      </c>
      <c r="U7" s="136" t="s">
        <v>102</v>
      </c>
      <c r="V7" s="136"/>
    </row>
    <row r="8" spans="1:22" x14ac:dyDescent="0.15">
      <c r="A8" s="137" t="s">
        <v>343</v>
      </c>
      <c r="B8" s="136" t="s">
        <v>348</v>
      </c>
      <c r="C8" s="137" t="s">
        <v>397</v>
      </c>
      <c r="D8" s="144" t="s">
        <v>0</v>
      </c>
      <c r="E8" s="144" t="s">
        <v>77</v>
      </c>
      <c r="F8" s="145">
        <v>307420</v>
      </c>
      <c r="G8" s="145">
        <v>47380</v>
      </c>
      <c r="H8" s="145">
        <v>40000</v>
      </c>
      <c r="I8" s="145">
        <v>26000</v>
      </c>
      <c r="J8" s="146" t="s">
        <v>325</v>
      </c>
      <c r="K8" s="144" t="str">
        <f t="shared" si="0"/>
        <v>管理部門</v>
      </c>
      <c r="L8" s="146" t="s">
        <v>121</v>
      </c>
      <c r="M8" s="147" t="str">
        <f t="shared" si="1"/>
        <v>東京加工課</v>
      </c>
      <c r="O8" s="136" t="s">
        <v>103</v>
      </c>
      <c r="P8" s="136" t="s">
        <v>104</v>
      </c>
      <c r="Q8" s="137" t="s">
        <v>105</v>
      </c>
      <c r="R8" s="137" t="s">
        <v>106</v>
      </c>
      <c r="U8" s="136" t="s">
        <v>107</v>
      </c>
      <c r="V8" s="136" t="s">
        <v>248</v>
      </c>
    </row>
    <row r="9" spans="1:22" x14ac:dyDescent="0.15">
      <c r="A9" s="137" t="s">
        <v>343</v>
      </c>
      <c r="B9" s="136" t="s">
        <v>381</v>
      </c>
      <c r="C9" s="137" t="s">
        <v>434</v>
      </c>
      <c r="D9" s="144" t="s">
        <v>336</v>
      </c>
      <c r="E9" s="144" t="s">
        <v>233</v>
      </c>
      <c r="F9" s="145">
        <v>157500</v>
      </c>
      <c r="G9" s="145">
        <v>0</v>
      </c>
      <c r="H9" s="145">
        <v>0</v>
      </c>
      <c r="I9" s="145">
        <v>0</v>
      </c>
      <c r="J9" s="146" t="s">
        <v>325</v>
      </c>
      <c r="K9" s="144" t="str">
        <f t="shared" si="0"/>
        <v>管理部門</v>
      </c>
      <c r="L9" s="146" t="s">
        <v>121</v>
      </c>
      <c r="M9" s="147" t="str">
        <f t="shared" si="1"/>
        <v>東京加工課</v>
      </c>
      <c r="U9" s="136" t="s">
        <v>108</v>
      </c>
      <c r="V9" s="136" t="s">
        <v>159</v>
      </c>
    </row>
    <row r="10" spans="1:22" x14ac:dyDescent="0.15">
      <c r="A10" s="137" t="s">
        <v>343</v>
      </c>
      <c r="B10" s="136" t="s">
        <v>344</v>
      </c>
      <c r="C10" s="137" t="s">
        <v>396</v>
      </c>
      <c r="D10" s="144" t="s">
        <v>0</v>
      </c>
      <c r="E10" s="144" t="s">
        <v>345</v>
      </c>
      <c r="F10" s="145">
        <v>342700</v>
      </c>
      <c r="G10" s="145">
        <v>51100</v>
      </c>
      <c r="H10" s="145">
        <v>80000</v>
      </c>
      <c r="I10" s="145">
        <v>0</v>
      </c>
      <c r="J10" s="146" t="s">
        <v>326</v>
      </c>
      <c r="K10" s="144" t="str">
        <f t="shared" si="0"/>
        <v>営業部門</v>
      </c>
      <c r="L10" s="146" t="s">
        <v>115</v>
      </c>
      <c r="M10" s="147" t="str">
        <f t="shared" si="1"/>
        <v>東京営業</v>
      </c>
      <c r="U10" s="136" t="s">
        <v>85</v>
      </c>
      <c r="V10" s="136" t="s">
        <v>243</v>
      </c>
    </row>
    <row r="11" spans="1:22" x14ac:dyDescent="0.15">
      <c r="A11" s="137" t="s">
        <v>343</v>
      </c>
      <c r="B11" s="136" t="s">
        <v>357</v>
      </c>
      <c r="C11" s="137" t="s">
        <v>410</v>
      </c>
      <c r="D11" s="144" t="s">
        <v>0</v>
      </c>
      <c r="E11" s="144" t="s">
        <v>112</v>
      </c>
      <c r="F11" s="145">
        <v>226070</v>
      </c>
      <c r="G11" s="145">
        <v>38830</v>
      </c>
      <c r="H11" s="145">
        <v>0</v>
      </c>
      <c r="I11" s="145">
        <v>0</v>
      </c>
      <c r="J11" s="146" t="s">
        <v>325</v>
      </c>
      <c r="K11" s="144" t="str">
        <f t="shared" si="0"/>
        <v>管理部門</v>
      </c>
      <c r="L11" s="146" t="s">
        <v>126</v>
      </c>
      <c r="M11" s="147" t="str">
        <f t="shared" si="1"/>
        <v>仙台一般</v>
      </c>
      <c r="U11" s="136" t="s">
        <v>109</v>
      </c>
      <c r="V11" s="136" t="s">
        <v>249</v>
      </c>
    </row>
    <row r="12" spans="1:22" x14ac:dyDescent="0.15">
      <c r="A12" s="137" t="s">
        <v>343</v>
      </c>
      <c r="B12" s="136" t="s">
        <v>349</v>
      </c>
      <c r="C12" s="137" t="s">
        <v>400</v>
      </c>
      <c r="D12" s="144" t="s">
        <v>0</v>
      </c>
      <c r="E12" s="144" t="s">
        <v>77</v>
      </c>
      <c r="F12" s="145">
        <v>280540</v>
      </c>
      <c r="G12" s="145">
        <v>44560</v>
      </c>
      <c r="H12" s="145">
        <v>30000</v>
      </c>
      <c r="I12" s="145">
        <v>0</v>
      </c>
      <c r="J12" s="146" t="s">
        <v>326</v>
      </c>
      <c r="K12" s="144" t="str">
        <f t="shared" si="0"/>
        <v>営業部門</v>
      </c>
      <c r="L12" s="146" t="s">
        <v>388</v>
      </c>
      <c r="M12" s="147" t="str">
        <f t="shared" si="1"/>
        <v>仙台営業</v>
      </c>
      <c r="U12" s="136" t="s">
        <v>110</v>
      </c>
      <c r="V12" s="136" t="s">
        <v>244</v>
      </c>
    </row>
    <row r="13" spans="1:22" x14ac:dyDescent="0.15">
      <c r="A13" s="137" t="s">
        <v>343</v>
      </c>
      <c r="B13" s="136" t="s">
        <v>351</v>
      </c>
      <c r="C13" s="137" t="s">
        <v>401</v>
      </c>
      <c r="D13" s="144" t="s">
        <v>0</v>
      </c>
      <c r="E13" s="144" t="s">
        <v>77</v>
      </c>
      <c r="F13" s="145">
        <v>267100</v>
      </c>
      <c r="G13" s="145">
        <v>43200</v>
      </c>
      <c r="H13" s="145">
        <v>30000</v>
      </c>
      <c r="I13" s="145">
        <v>0</v>
      </c>
      <c r="J13" s="146" t="s">
        <v>326</v>
      </c>
      <c r="K13" s="144" t="str">
        <f t="shared" si="0"/>
        <v>営業部門</v>
      </c>
      <c r="L13" s="146" t="s">
        <v>118</v>
      </c>
      <c r="M13" s="147" t="str">
        <f t="shared" si="1"/>
        <v>北関東営業</v>
      </c>
      <c r="U13" s="136" t="s">
        <v>111</v>
      </c>
      <c r="V13" s="136" t="s">
        <v>318</v>
      </c>
    </row>
    <row r="14" spans="1:22" x14ac:dyDescent="0.15">
      <c r="A14" s="137" t="s">
        <v>343</v>
      </c>
      <c r="B14" s="136" t="s">
        <v>352</v>
      </c>
      <c r="C14" s="137" t="s">
        <v>407</v>
      </c>
      <c r="D14" s="144" t="s">
        <v>0</v>
      </c>
      <c r="E14" s="144" t="s">
        <v>98</v>
      </c>
      <c r="F14" s="145">
        <v>207930</v>
      </c>
      <c r="G14" s="145">
        <v>36970</v>
      </c>
      <c r="H14" s="145">
        <v>15000</v>
      </c>
      <c r="I14" s="145">
        <v>26000</v>
      </c>
      <c r="J14" s="146" t="s">
        <v>325</v>
      </c>
      <c r="K14" s="144" t="str">
        <f t="shared" si="0"/>
        <v>管理部門</v>
      </c>
      <c r="L14" s="146" t="s">
        <v>129</v>
      </c>
      <c r="M14" s="147" t="str">
        <f t="shared" si="1"/>
        <v>北関東加工課</v>
      </c>
      <c r="U14" s="136" t="s">
        <v>113</v>
      </c>
      <c r="V14" s="136" t="s">
        <v>319</v>
      </c>
    </row>
    <row r="15" spans="1:22" x14ac:dyDescent="0.15">
      <c r="A15" s="137" t="s">
        <v>343</v>
      </c>
      <c r="B15" s="136" t="s">
        <v>358</v>
      </c>
      <c r="C15" s="137" t="s">
        <v>413</v>
      </c>
      <c r="D15" s="144" t="s">
        <v>0</v>
      </c>
      <c r="E15" s="144" t="s">
        <v>112</v>
      </c>
      <c r="F15" s="145">
        <v>210340</v>
      </c>
      <c r="G15" s="145">
        <v>37160</v>
      </c>
      <c r="H15" s="145">
        <v>0</v>
      </c>
      <c r="I15" s="145">
        <v>9000</v>
      </c>
      <c r="J15" s="146" t="s">
        <v>325</v>
      </c>
      <c r="K15" s="144" t="str">
        <f t="shared" si="0"/>
        <v>管理部門</v>
      </c>
      <c r="L15" s="146" t="s">
        <v>126</v>
      </c>
      <c r="M15" s="147" t="str">
        <f t="shared" si="1"/>
        <v>仙台一般</v>
      </c>
      <c r="U15" s="136" t="s">
        <v>114</v>
      </c>
      <c r="V15" s="136" t="s">
        <v>320</v>
      </c>
    </row>
    <row r="16" spans="1:22" x14ac:dyDescent="0.15">
      <c r="A16" s="137" t="s">
        <v>343</v>
      </c>
      <c r="B16" s="136" t="s">
        <v>353</v>
      </c>
      <c r="C16" s="137" t="s">
        <v>404</v>
      </c>
      <c r="D16" s="144" t="s">
        <v>0</v>
      </c>
      <c r="E16" s="144" t="s">
        <v>98</v>
      </c>
      <c r="F16" s="145">
        <v>252680</v>
      </c>
      <c r="G16" s="145">
        <v>41620</v>
      </c>
      <c r="H16" s="145">
        <v>15000</v>
      </c>
      <c r="I16" s="145">
        <v>17000</v>
      </c>
      <c r="J16" s="146" t="s">
        <v>325</v>
      </c>
      <c r="K16" s="144" t="str">
        <f t="shared" si="0"/>
        <v>管理部門</v>
      </c>
      <c r="L16" s="146" t="s">
        <v>120</v>
      </c>
      <c r="M16" s="147" t="str">
        <f t="shared" si="1"/>
        <v>東京一般</v>
      </c>
      <c r="U16" s="335" t="s">
        <v>115</v>
      </c>
      <c r="V16" s="335" t="s">
        <v>292</v>
      </c>
    </row>
    <row r="17" spans="1:22" x14ac:dyDescent="0.15">
      <c r="A17" s="137" t="s">
        <v>343</v>
      </c>
      <c r="B17" s="136" t="s">
        <v>359</v>
      </c>
      <c r="C17" s="137" t="s">
        <v>412</v>
      </c>
      <c r="D17" s="144" t="s">
        <v>0</v>
      </c>
      <c r="E17" s="144" t="s">
        <v>112</v>
      </c>
      <c r="F17" s="145">
        <v>223210</v>
      </c>
      <c r="G17" s="145">
        <v>38590</v>
      </c>
      <c r="H17" s="145">
        <v>0</v>
      </c>
      <c r="I17" s="145">
        <v>0</v>
      </c>
      <c r="J17" s="146" t="s">
        <v>326</v>
      </c>
      <c r="K17" s="144" t="str">
        <f t="shared" si="0"/>
        <v>営業部門</v>
      </c>
      <c r="L17" s="146" t="s">
        <v>117</v>
      </c>
      <c r="M17" s="147" t="str">
        <f t="shared" si="1"/>
        <v>南関東営業</v>
      </c>
      <c r="U17" s="136" t="s">
        <v>116</v>
      </c>
      <c r="V17" s="136" t="s">
        <v>119</v>
      </c>
    </row>
    <row r="18" spans="1:22" x14ac:dyDescent="0.15">
      <c r="A18" s="137" t="s">
        <v>343</v>
      </c>
      <c r="B18" s="136" t="s">
        <v>354</v>
      </c>
      <c r="C18" s="137" t="s">
        <v>408</v>
      </c>
      <c r="D18" s="144" t="s">
        <v>0</v>
      </c>
      <c r="E18" s="144" t="s">
        <v>98</v>
      </c>
      <c r="F18" s="145">
        <v>206140</v>
      </c>
      <c r="G18" s="145">
        <v>36760</v>
      </c>
      <c r="H18" s="145">
        <v>15000</v>
      </c>
      <c r="I18" s="145">
        <v>9000</v>
      </c>
      <c r="J18" s="146" t="s">
        <v>325</v>
      </c>
      <c r="K18" s="144" t="str">
        <f t="shared" si="0"/>
        <v>管理部門</v>
      </c>
      <c r="L18" s="146" t="s">
        <v>125</v>
      </c>
      <c r="M18" s="147" t="str">
        <f t="shared" si="1"/>
        <v>南関東加工課</v>
      </c>
      <c r="U18" s="335" t="s">
        <v>117</v>
      </c>
      <c r="V18" s="335" t="s">
        <v>245</v>
      </c>
    </row>
    <row r="19" spans="1:22" x14ac:dyDescent="0.15">
      <c r="A19" s="137" t="s">
        <v>343</v>
      </c>
      <c r="B19" s="136" t="s">
        <v>355</v>
      </c>
      <c r="C19" s="137" t="s">
        <v>402</v>
      </c>
      <c r="D19" s="144" t="s">
        <v>0</v>
      </c>
      <c r="E19" s="144" t="s">
        <v>98</v>
      </c>
      <c r="F19" s="145">
        <v>267000</v>
      </c>
      <c r="G19" s="145">
        <v>43200</v>
      </c>
      <c r="H19" s="145">
        <v>15000</v>
      </c>
      <c r="I19" s="145">
        <v>0</v>
      </c>
      <c r="J19" s="146" t="s">
        <v>325</v>
      </c>
      <c r="K19" s="144" t="str">
        <f t="shared" si="0"/>
        <v>管理部門</v>
      </c>
      <c r="L19" s="146" t="s">
        <v>121</v>
      </c>
      <c r="M19" s="147" t="str">
        <f t="shared" si="1"/>
        <v>東京加工課</v>
      </c>
      <c r="U19" s="335" t="s">
        <v>156</v>
      </c>
      <c r="V19" s="335" t="s">
        <v>246</v>
      </c>
    </row>
    <row r="20" spans="1:22" x14ac:dyDescent="0.15">
      <c r="A20" s="137" t="s">
        <v>343</v>
      </c>
      <c r="B20" s="136" t="s">
        <v>360</v>
      </c>
      <c r="C20" s="336" t="s">
        <v>419</v>
      </c>
      <c r="D20" s="337" t="s">
        <v>0</v>
      </c>
      <c r="E20" s="337" t="s">
        <v>112</v>
      </c>
      <c r="F20" s="338">
        <v>183170</v>
      </c>
      <c r="G20" s="338">
        <v>34330</v>
      </c>
      <c r="H20" s="338">
        <v>0</v>
      </c>
      <c r="I20" s="338">
        <v>0</v>
      </c>
      <c r="J20" s="339" t="s">
        <v>325</v>
      </c>
      <c r="K20" s="337" t="str">
        <f t="shared" si="0"/>
        <v>管理部門</v>
      </c>
      <c r="L20" s="339" t="s">
        <v>125</v>
      </c>
      <c r="M20" s="340" t="str">
        <f t="shared" si="1"/>
        <v>南関東加工課</v>
      </c>
      <c r="U20" s="335" t="s">
        <v>118</v>
      </c>
      <c r="V20" s="335" t="s">
        <v>337</v>
      </c>
    </row>
    <row r="21" spans="1:22" x14ac:dyDescent="0.15">
      <c r="A21" s="137" t="s">
        <v>343</v>
      </c>
      <c r="B21" s="136" t="s">
        <v>376</v>
      </c>
      <c r="C21" s="336" t="s">
        <v>432</v>
      </c>
      <c r="D21" s="337" t="s">
        <v>0</v>
      </c>
      <c r="E21" s="337" t="s">
        <v>233</v>
      </c>
      <c r="F21" s="338">
        <v>153060</v>
      </c>
      <c r="G21" s="338">
        <v>31240</v>
      </c>
      <c r="H21" s="338">
        <v>0</v>
      </c>
      <c r="I21" s="338">
        <v>0</v>
      </c>
      <c r="J21" s="339" t="s">
        <v>325</v>
      </c>
      <c r="K21" s="337" t="str">
        <f t="shared" si="0"/>
        <v>管理部門</v>
      </c>
      <c r="L21" s="339" t="s">
        <v>121</v>
      </c>
      <c r="M21" s="340" t="str">
        <f t="shared" si="1"/>
        <v>東京加工課</v>
      </c>
      <c r="U21" s="334" t="s">
        <v>120</v>
      </c>
      <c r="V21" s="334" t="s">
        <v>247</v>
      </c>
    </row>
    <row r="22" spans="1:22" x14ac:dyDescent="0.15">
      <c r="A22" s="137" t="s">
        <v>343</v>
      </c>
      <c r="B22" s="136" t="s">
        <v>382</v>
      </c>
      <c r="C22" s="336" t="s">
        <v>435</v>
      </c>
      <c r="D22" s="337" t="s">
        <v>336</v>
      </c>
      <c r="E22" s="337" t="s">
        <v>233</v>
      </c>
      <c r="F22" s="338">
        <v>156000</v>
      </c>
      <c r="G22" s="338">
        <v>0</v>
      </c>
      <c r="H22" s="338">
        <v>0</v>
      </c>
      <c r="I22" s="338">
        <v>0</v>
      </c>
      <c r="J22" s="339" t="s">
        <v>325</v>
      </c>
      <c r="K22" s="337" t="str">
        <f t="shared" si="0"/>
        <v>管理部門</v>
      </c>
      <c r="L22" s="339" t="s">
        <v>125</v>
      </c>
      <c r="M22" s="340" t="str">
        <f t="shared" si="1"/>
        <v>南関東加工課</v>
      </c>
      <c r="U22" s="136" t="s">
        <v>121</v>
      </c>
      <c r="V22" s="136" t="s">
        <v>155</v>
      </c>
    </row>
    <row r="23" spans="1:22" x14ac:dyDescent="0.15">
      <c r="A23" s="137" t="s">
        <v>343</v>
      </c>
      <c r="B23" s="136" t="s">
        <v>361</v>
      </c>
      <c r="C23" s="336" t="s">
        <v>421</v>
      </c>
      <c r="D23" s="337" t="s">
        <v>0</v>
      </c>
      <c r="E23" s="337" t="s">
        <v>112</v>
      </c>
      <c r="F23" s="338">
        <v>178880</v>
      </c>
      <c r="G23" s="338">
        <v>33920</v>
      </c>
      <c r="H23" s="338">
        <v>0</v>
      </c>
      <c r="I23" s="338">
        <v>26000</v>
      </c>
      <c r="J23" s="339" t="s">
        <v>325</v>
      </c>
      <c r="K23" s="337" t="str">
        <f t="shared" si="0"/>
        <v>管理部門</v>
      </c>
      <c r="L23" s="339" t="s">
        <v>125</v>
      </c>
      <c r="M23" s="340" t="str">
        <f t="shared" si="1"/>
        <v>南関東加工課</v>
      </c>
      <c r="U23" s="334" t="s">
        <v>123</v>
      </c>
      <c r="V23" s="334" t="s">
        <v>250</v>
      </c>
    </row>
    <row r="24" spans="1:22" x14ac:dyDescent="0.15">
      <c r="A24" s="137" t="s">
        <v>343</v>
      </c>
      <c r="B24" s="136" t="s">
        <v>362</v>
      </c>
      <c r="C24" s="336" t="s">
        <v>425</v>
      </c>
      <c r="D24" s="337" t="s">
        <v>426</v>
      </c>
      <c r="E24" s="337" t="s">
        <v>112</v>
      </c>
      <c r="F24" s="338">
        <v>168870</v>
      </c>
      <c r="G24" s="338">
        <v>32830</v>
      </c>
      <c r="H24" s="338">
        <v>0</v>
      </c>
      <c r="I24" s="338">
        <v>17000</v>
      </c>
      <c r="J24" s="339" t="s">
        <v>325</v>
      </c>
      <c r="K24" s="337" t="str">
        <f t="shared" si="0"/>
        <v>管理部門</v>
      </c>
      <c r="L24" s="339" t="s">
        <v>120</v>
      </c>
      <c r="M24" s="340" t="str">
        <f t="shared" si="1"/>
        <v>東京一般</v>
      </c>
      <c r="U24" s="136" t="s">
        <v>125</v>
      </c>
      <c r="V24" s="136" t="s">
        <v>283</v>
      </c>
    </row>
    <row r="25" spans="1:22" x14ac:dyDescent="0.15">
      <c r="A25" s="137" t="s">
        <v>343</v>
      </c>
      <c r="B25" s="136" t="s">
        <v>377</v>
      </c>
      <c r="C25" s="336" t="s">
        <v>429</v>
      </c>
      <c r="D25" s="337" t="s">
        <v>0</v>
      </c>
      <c r="E25" s="337" t="s">
        <v>233</v>
      </c>
      <c r="F25" s="338">
        <v>177000</v>
      </c>
      <c r="G25" s="338">
        <v>33700</v>
      </c>
      <c r="H25" s="338">
        <v>0</v>
      </c>
      <c r="I25" s="338">
        <v>0</v>
      </c>
      <c r="J25" s="339" t="s">
        <v>325</v>
      </c>
      <c r="K25" s="337" t="str">
        <f t="shared" si="0"/>
        <v>管理部門</v>
      </c>
      <c r="L25" s="339" t="s">
        <v>120</v>
      </c>
      <c r="M25" s="340" t="str">
        <f t="shared" si="1"/>
        <v>東京一般</v>
      </c>
      <c r="U25" s="334" t="s">
        <v>126</v>
      </c>
      <c r="V25" s="334" t="s">
        <v>251</v>
      </c>
    </row>
    <row r="26" spans="1:22" x14ac:dyDescent="0.15">
      <c r="A26" s="137" t="s">
        <v>343</v>
      </c>
      <c r="B26" s="136" t="s">
        <v>356</v>
      </c>
      <c r="C26" s="336" t="s">
        <v>406</v>
      </c>
      <c r="D26" s="337" t="s">
        <v>0</v>
      </c>
      <c r="E26" s="337" t="s">
        <v>98</v>
      </c>
      <c r="F26" s="338">
        <v>220460</v>
      </c>
      <c r="G26" s="338">
        <v>38240</v>
      </c>
      <c r="H26" s="338">
        <v>15000</v>
      </c>
      <c r="I26" s="338">
        <v>13000</v>
      </c>
      <c r="J26" s="339" t="s">
        <v>326</v>
      </c>
      <c r="K26" s="337" t="str">
        <f t="shared" si="0"/>
        <v>営業部門</v>
      </c>
      <c r="L26" s="339" t="s">
        <v>117</v>
      </c>
      <c r="M26" s="340" t="str">
        <f t="shared" si="1"/>
        <v>南関東営業</v>
      </c>
      <c r="U26" s="136" t="s">
        <v>127</v>
      </c>
      <c r="V26" s="136" t="s">
        <v>252</v>
      </c>
    </row>
    <row r="27" spans="1:22" x14ac:dyDescent="0.15">
      <c r="A27" s="137" t="s">
        <v>343</v>
      </c>
      <c r="B27" s="136" t="s">
        <v>363</v>
      </c>
      <c r="C27" s="336" t="s">
        <v>405</v>
      </c>
      <c r="D27" s="337" t="s">
        <v>0</v>
      </c>
      <c r="E27" s="337" t="s">
        <v>98</v>
      </c>
      <c r="F27" s="338">
        <v>222250</v>
      </c>
      <c r="G27" s="338">
        <v>38450</v>
      </c>
      <c r="H27" s="338">
        <v>15000</v>
      </c>
      <c r="I27" s="338">
        <v>0</v>
      </c>
      <c r="J27" s="339" t="s">
        <v>325</v>
      </c>
      <c r="K27" s="337" t="str">
        <f t="shared" si="0"/>
        <v>管理部門</v>
      </c>
      <c r="L27" s="339" t="s">
        <v>120</v>
      </c>
      <c r="M27" s="340" t="str">
        <f t="shared" si="1"/>
        <v>東京一般</v>
      </c>
      <c r="U27" s="334" t="s">
        <v>128</v>
      </c>
      <c r="V27" s="334" t="s">
        <v>338</v>
      </c>
    </row>
    <row r="28" spans="1:22" x14ac:dyDescent="0.15">
      <c r="A28" s="137" t="s">
        <v>343</v>
      </c>
      <c r="B28" s="136" t="s">
        <v>383</v>
      </c>
      <c r="C28" s="336" t="s">
        <v>436</v>
      </c>
      <c r="D28" s="337" t="s">
        <v>336</v>
      </c>
      <c r="E28" s="337" t="s">
        <v>233</v>
      </c>
      <c r="F28" s="338">
        <v>156000</v>
      </c>
      <c r="G28" s="338">
        <v>0</v>
      </c>
      <c r="H28" s="338">
        <v>0</v>
      </c>
      <c r="I28" s="338">
        <v>0</v>
      </c>
      <c r="J28" s="339" t="s">
        <v>325</v>
      </c>
      <c r="K28" s="337" t="str">
        <f t="shared" si="0"/>
        <v>管理部門</v>
      </c>
      <c r="L28" s="339" t="s">
        <v>125</v>
      </c>
      <c r="M28" s="340" t="str">
        <f t="shared" si="1"/>
        <v>南関東加工課</v>
      </c>
      <c r="U28" s="136" t="s">
        <v>129</v>
      </c>
      <c r="V28" s="136" t="s">
        <v>339</v>
      </c>
    </row>
    <row r="29" spans="1:22" x14ac:dyDescent="0.15">
      <c r="A29" s="137" t="s">
        <v>343</v>
      </c>
      <c r="B29" s="136" t="s">
        <v>378</v>
      </c>
      <c r="C29" s="336" t="s">
        <v>430</v>
      </c>
      <c r="D29" s="337" t="s">
        <v>0</v>
      </c>
      <c r="E29" s="337" t="s">
        <v>233</v>
      </c>
      <c r="F29" s="338">
        <v>173580</v>
      </c>
      <c r="G29" s="338">
        <v>33320</v>
      </c>
      <c r="H29" s="338">
        <v>0</v>
      </c>
      <c r="I29" s="338">
        <v>0</v>
      </c>
      <c r="J29" s="339" t="s">
        <v>325</v>
      </c>
      <c r="K29" s="337" t="str">
        <f t="shared" si="0"/>
        <v>管理部門</v>
      </c>
      <c r="L29" s="339" t="s">
        <v>120</v>
      </c>
      <c r="M29" s="340" t="str">
        <f t="shared" si="1"/>
        <v>東京一般</v>
      </c>
      <c r="U29" s="136" t="s">
        <v>130</v>
      </c>
      <c r="V29" s="136"/>
    </row>
    <row r="30" spans="1:22" x14ac:dyDescent="0.15">
      <c r="A30" s="137" t="s">
        <v>343</v>
      </c>
      <c r="B30" s="136" t="s">
        <v>364</v>
      </c>
      <c r="C30" s="336" t="s">
        <v>414</v>
      </c>
      <c r="D30" s="337" t="s">
        <v>0</v>
      </c>
      <c r="E30" s="337" t="s">
        <v>112</v>
      </c>
      <c r="F30" s="338">
        <v>201760</v>
      </c>
      <c r="G30" s="338">
        <v>36340</v>
      </c>
      <c r="H30" s="338">
        <v>0</v>
      </c>
      <c r="I30" s="338">
        <v>0</v>
      </c>
      <c r="J30" s="339" t="s">
        <v>326</v>
      </c>
      <c r="K30" s="337" t="str">
        <f t="shared" si="0"/>
        <v>営業部門</v>
      </c>
      <c r="L30" s="339" t="s">
        <v>118</v>
      </c>
      <c r="M30" s="340" t="str">
        <f t="shared" si="1"/>
        <v>北関東営業</v>
      </c>
      <c r="U30" s="136" t="s">
        <v>131</v>
      </c>
      <c r="V30" s="136"/>
    </row>
    <row r="31" spans="1:22" x14ac:dyDescent="0.15">
      <c r="A31" s="137" t="s">
        <v>343</v>
      </c>
      <c r="B31" s="136" t="s">
        <v>365</v>
      </c>
      <c r="C31" s="336" t="s">
        <v>409</v>
      </c>
      <c r="D31" s="337" t="s">
        <v>0</v>
      </c>
      <c r="E31" s="337" t="s">
        <v>98</v>
      </c>
      <c r="F31" s="338">
        <v>198980</v>
      </c>
      <c r="G31" s="338">
        <v>36020</v>
      </c>
      <c r="H31" s="338">
        <v>15000</v>
      </c>
      <c r="I31" s="338">
        <v>0</v>
      </c>
      <c r="J31" s="339" t="s">
        <v>325</v>
      </c>
      <c r="K31" s="337" t="str">
        <f t="shared" si="0"/>
        <v>管理部門</v>
      </c>
      <c r="L31" s="339" t="s">
        <v>123</v>
      </c>
      <c r="M31" s="340" t="str">
        <f t="shared" si="1"/>
        <v>南関東一般</v>
      </c>
      <c r="U31" s="136" t="s">
        <v>132</v>
      </c>
      <c r="V31" s="136"/>
    </row>
    <row r="32" spans="1:22" x14ac:dyDescent="0.15">
      <c r="A32" s="137" t="s">
        <v>343</v>
      </c>
      <c r="B32" s="136" t="s">
        <v>366</v>
      </c>
      <c r="C32" s="336" t="s">
        <v>423</v>
      </c>
      <c r="D32" s="337" t="s">
        <v>0</v>
      </c>
      <c r="E32" s="337" t="s">
        <v>112</v>
      </c>
      <c r="F32" s="338">
        <v>170300</v>
      </c>
      <c r="G32" s="338">
        <v>33000</v>
      </c>
      <c r="H32" s="338">
        <v>0</v>
      </c>
      <c r="I32" s="338">
        <v>0</v>
      </c>
      <c r="J32" s="339" t="s">
        <v>325</v>
      </c>
      <c r="K32" s="337" t="str">
        <f t="shared" si="0"/>
        <v>管理部門</v>
      </c>
      <c r="L32" s="339" t="s">
        <v>125</v>
      </c>
      <c r="M32" s="340" t="str">
        <f t="shared" si="1"/>
        <v>南関東加工課</v>
      </c>
      <c r="U32" s="136" t="s">
        <v>133</v>
      </c>
      <c r="V32" s="136" t="s">
        <v>122</v>
      </c>
    </row>
    <row r="33" spans="1:22" x14ac:dyDescent="0.15">
      <c r="A33" s="137" t="s">
        <v>343</v>
      </c>
      <c r="B33" s="136" t="s">
        <v>367</v>
      </c>
      <c r="C33" s="336" t="s">
        <v>416</v>
      </c>
      <c r="D33" s="337" t="s">
        <v>0</v>
      </c>
      <c r="E33" s="337" t="s">
        <v>112</v>
      </c>
      <c r="F33" s="338">
        <v>191750</v>
      </c>
      <c r="G33" s="338">
        <v>35250</v>
      </c>
      <c r="H33" s="338">
        <v>0</v>
      </c>
      <c r="I33" s="338">
        <v>0</v>
      </c>
      <c r="J33" s="339" t="s">
        <v>326</v>
      </c>
      <c r="K33" s="337" t="str">
        <f t="shared" si="0"/>
        <v>営業部門</v>
      </c>
      <c r="L33" s="339" t="s">
        <v>115</v>
      </c>
      <c r="M33" s="340" t="str">
        <f t="shared" si="1"/>
        <v>東京営業</v>
      </c>
      <c r="U33" s="136" t="s">
        <v>134</v>
      </c>
      <c r="V33" s="136" t="s">
        <v>124</v>
      </c>
    </row>
    <row r="34" spans="1:22" x14ac:dyDescent="0.15">
      <c r="A34" s="137" t="s">
        <v>343</v>
      </c>
      <c r="B34" s="136" t="s">
        <v>368</v>
      </c>
      <c r="C34" s="336" t="s">
        <v>415</v>
      </c>
      <c r="D34" s="337" t="s">
        <v>0</v>
      </c>
      <c r="E34" s="337" t="s">
        <v>112</v>
      </c>
      <c r="F34" s="338">
        <v>194610</v>
      </c>
      <c r="G34" s="338">
        <v>35590</v>
      </c>
      <c r="H34" s="338">
        <v>0</v>
      </c>
      <c r="I34" s="338">
        <v>0</v>
      </c>
      <c r="J34" s="339" t="s">
        <v>325</v>
      </c>
      <c r="K34" s="337" t="str">
        <f t="shared" si="0"/>
        <v>管理部門</v>
      </c>
      <c r="L34" s="339" t="s">
        <v>120</v>
      </c>
      <c r="M34" s="340" t="str">
        <f t="shared" si="1"/>
        <v>東京一般</v>
      </c>
      <c r="U34" s="136" t="s">
        <v>135</v>
      </c>
      <c r="V34" s="136"/>
    </row>
    <row r="35" spans="1:22" x14ac:dyDescent="0.15">
      <c r="A35" s="137" t="s">
        <v>343</v>
      </c>
      <c r="B35" s="136" t="s">
        <v>369</v>
      </c>
      <c r="C35" s="336" t="s">
        <v>417</v>
      </c>
      <c r="D35" s="337" t="s">
        <v>0</v>
      </c>
      <c r="E35" s="337" t="s">
        <v>112</v>
      </c>
      <c r="F35" s="338">
        <v>187460</v>
      </c>
      <c r="G35" s="338">
        <v>34840</v>
      </c>
      <c r="H35" s="338">
        <v>0</v>
      </c>
      <c r="I35" s="338">
        <v>0</v>
      </c>
      <c r="J35" s="339" t="s">
        <v>325</v>
      </c>
      <c r="K35" s="337" t="str">
        <f t="shared" si="0"/>
        <v>管理部門</v>
      </c>
      <c r="L35" s="339" t="s">
        <v>123</v>
      </c>
      <c r="M35" s="340" t="str">
        <f t="shared" si="1"/>
        <v>南関東一般</v>
      </c>
      <c r="U35" s="136" t="s">
        <v>137</v>
      </c>
      <c r="V35" s="136" t="s">
        <v>88</v>
      </c>
    </row>
    <row r="36" spans="1:22" x14ac:dyDescent="0.15">
      <c r="A36" s="137" t="s">
        <v>343</v>
      </c>
      <c r="B36" s="136" t="s">
        <v>370</v>
      </c>
      <c r="C36" s="336" t="s">
        <v>411</v>
      </c>
      <c r="D36" s="337" t="s">
        <v>0</v>
      </c>
      <c r="E36" s="337" t="s">
        <v>112</v>
      </c>
      <c r="F36" s="338">
        <v>224640</v>
      </c>
      <c r="G36" s="338">
        <v>38660</v>
      </c>
      <c r="H36" s="338">
        <v>0</v>
      </c>
      <c r="I36" s="338">
        <v>13000</v>
      </c>
      <c r="J36" s="339" t="s">
        <v>325</v>
      </c>
      <c r="K36" s="337" t="str">
        <f t="shared" si="0"/>
        <v>管理部門</v>
      </c>
      <c r="L36" s="339" t="s">
        <v>121</v>
      </c>
      <c r="M36" s="340" t="str">
        <f t="shared" si="1"/>
        <v>東京加工課</v>
      </c>
      <c r="U36" s="136" t="s">
        <v>138</v>
      </c>
      <c r="V36" s="136" t="s">
        <v>335</v>
      </c>
    </row>
    <row r="37" spans="1:22" x14ac:dyDescent="0.15">
      <c r="A37" s="137" t="s">
        <v>343</v>
      </c>
      <c r="B37" s="136" t="s">
        <v>384</v>
      </c>
      <c r="C37" s="336" t="s">
        <v>437</v>
      </c>
      <c r="D37" s="337" t="s">
        <v>336</v>
      </c>
      <c r="E37" s="337" t="s">
        <v>233</v>
      </c>
      <c r="F37" s="338">
        <v>150000</v>
      </c>
      <c r="G37" s="338">
        <v>0</v>
      </c>
      <c r="H37" s="338">
        <v>0</v>
      </c>
      <c r="I37" s="338">
        <v>0</v>
      </c>
      <c r="J37" s="339" t="s">
        <v>325</v>
      </c>
      <c r="K37" s="337" t="str">
        <f t="shared" si="0"/>
        <v>管理部門</v>
      </c>
      <c r="L37" s="339" t="s">
        <v>127</v>
      </c>
      <c r="M37" s="340" t="str">
        <f t="shared" si="1"/>
        <v>仙台加工課</v>
      </c>
      <c r="U37" s="136" t="s">
        <v>139</v>
      </c>
      <c r="V37" s="136"/>
    </row>
    <row r="38" spans="1:22" x14ac:dyDescent="0.15">
      <c r="A38" s="137" t="s">
        <v>343</v>
      </c>
      <c r="B38" s="136" t="s">
        <v>371</v>
      </c>
      <c r="C38" s="336" t="s">
        <v>424</v>
      </c>
      <c r="D38" s="337" t="s">
        <v>0</v>
      </c>
      <c r="E38" s="337" t="s">
        <v>112</v>
      </c>
      <c r="F38" s="338">
        <v>170300</v>
      </c>
      <c r="G38" s="338">
        <v>33000</v>
      </c>
      <c r="H38" s="338">
        <v>0</v>
      </c>
      <c r="I38" s="338">
        <v>0</v>
      </c>
      <c r="J38" s="339" t="s">
        <v>325</v>
      </c>
      <c r="K38" s="337" t="str">
        <f t="shared" si="0"/>
        <v>管理部門</v>
      </c>
      <c r="L38" s="339" t="s">
        <v>120</v>
      </c>
      <c r="M38" s="340" t="str">
        <f t="shared" si="1"/>
        <v>東京一般</v>
      </c>
      <c r="U38" s="136" t="s">
        <v>140</v>
      </c>
      <c r="V38" s="136" t="s">
        <v>288</v>
      </c>
    </row>
    <row r="39" spans="1:22" x14ac:dyDescent="0.15">
      <c r="A39" s="137" t="s">
        <v>343</v>
      </c>
      <c r="B39" s="136" t="s">
        <v>385</v>
      </c>
      <c r="C39" s="336" t="s">
        <v>438</v>
      </c>
      <c r="D39" s="337" t="s">
        <v>336</v>
      </c>
      <c r="E39" s="337" t="s">
        <v>233</v>
      </c>
      <c r="F39" s="338">
        <v>180000</v>
      </c>
      <c r="G39" s="338">
        <v>0</v>
      </c>
      <c r="H39" s="338">
        <v>0</v>
      </c>
      <c r="I39" s="338">
        <v>0</v>
      </c>
      <c r="J39" s="339" t="s">
        <v>325</v>
      </c>
      <c r="K39" s="337" t="str">
        <f t="shared" si="0"/>
        <v>管理部門</v>
      </c>
      <c r="L39" s="339" t="s">
        <v>123</v>
      </c>
      <c r="M39" s="340" t="str">
        <f t="shared" si="1"/>
        <v>南関東一般</v>
      </c>
      <c r="U39" s="136" t="s">
        <v>141</v>
      </c>
      <c r="V39" s="136" t="s">
        <v>289</v>
      </c>
    </row>
    <row r="40" spans="1:22" x14ac:dyDescent="0.15">
      <c r="A40" s="137" t="s">
        <v>343</v>
      </c>
      <c r="B40" s="136" t="s">
        <v>372</v>
      </c>
      <c r="C40" s="336" t="s">
        <v>427</v>
      </c>
      <c r="D40" s="337" t="s">
        <v>0</v>
      </c>
      <c r="E40" s="337" t="s">
        <v>112</v>
      </c>
      <c r="F40" s="338">
        <v>166010</v>
      </c>
      <c r="G40" s="338">
        <v>32590</v>
      </c>
      <c r="H40" s="338">
        <v>0</v>
      </c>
      <c r="I40" s="338">
        <v>0</v>
      </c>
      <c r="J40" s="339" t="s">
        <v>325</v>
      </c>
      <c r="K40" s="337" t="str">
        <f t="shared" si="0"/>
        <v>管理部門</v>
      </c>
      <c r="L40" s="339" t="s">
        <v>127</v>
      </c>
      <c r="M40" s="340" t="str">
        <f t="shared" si="1"/>
        <v>仙台加工課</v>
      </c>
      <c r="U40" s="136" t="s">
        <v>142</v>
      </c>
      <c r="V40" s="136" t="s">
        <v>290</v>
      </c>
    </row>
    <row r="41" spans="1:22" x14ac:dyDescent="0.15">
      <c r="A41" s="137" t="s">
        <v>343</v>
      </c>
      <c r="B41" s="136" t="s">
        <v>373</v>
      </c>
      <c r="C41" s="336" t="s">
        <v>418</v>
      </c>
      <c r="D41" s="337" t="s">
        <v>0</v>
      </c>
      <c r="E41" s="337" t="s">
        <v>112</v>
      </c>
      <c r="F41" s="338">
        <v>184600</v>
      </c>
      <c r="G41" s="338">
        <v>34500</v>
      </c>
      <c r="H41" s="338">
        <v>0</v>
      </c>
      <c r="I41" s="338">
        <v>0</v>
      </c>
      <c r="J41" s="339" t="s">
        <v>326</v>
      </c>
      <c r="K41" s="337" t="str">
        <f t="shared" si="0"/>
        <v>営業部門</v>
      </c>
      <c r="L41" s="339" t="s">
        <v>117</v>
      </c>
      <c r="M41" s="340" t="str">
        <f t="shared" si="1"/>
        <v>南関東営業</v>
      </c>
      <c r="U41" s="136" t="s">
        <v>144</v>
      </c>
      <c r="V41" s="136"/>
    </row>
    <row r="42" spans="1:22" x14ac:dyDescent="0.15">
      <c r="A42" s="137" t="s">
        <v>343</v>
      </c>
      <c r="B42" s="136" t="s">
        <v>379</v>
      </c>
      <c r="C42" s="336" t="s">
        <v>431</v>
      </c>
      <c r="D42" s="337" t="s">
        <v>0</v>
      </c>
      <c r="E42" s="337" t="s">
        <v>233</v>
      </c>
      <c r="F42" s="338">
        <v>169020</v>
      </c>
      <c r="G42" s="338">
        <v>32880</v>
      </c>
      <c r="H42" s="338">
        <v>0</v>
      </c>
      <c r="I42" s="338">
        <v>0</v>
      </c>
      <c r="J42" s="339" t="s">
        <v>325</v>
      </c>
      <c r="K42" s="337" t="str">
        <f t="shared" si="0"/>
        <v>管理部門</v>
      </c>
      <c r="L42" s="339" t="s">
        <v>121</v>
      </c>
      <c r="M42" s="340" t="str">
        <f t="shared" si="1"/>
        <v>東京加工課</v>
      </c>
      <c r="U42" s="136" t="s">
        <v>145</v>
      </c>
      <c r="V42" s="136" t="s">
        <v>143</v>
      </c>
    </row>
    <row r="43" spans="1:22" x14ac:dyDescent="0.15">
      <c r="A43" s="137" t="s">
        <v>343</v>
      </c>
      <c r="B43" s="136" t="s">
        <v>374</v>
      </c>
      <c r="C43" s="336" t="s">
        <v>422</v>
      </c>
      <c r="D43" s="337" t="s">
        <v>0</v>
      </c>
      <c r="E43" s="337" t="s">
        <v>112</v>
      </c>
      <c r="F43" s="338">
        <v>171730</v>
      </c>
      <c r="G43" s="338">
        <v>33170</v>
      </c>
      <c r="H43" s="338">
        <v>0</v>
      </c>
      <c r="I43" s="338">
        <v>0</v>
      </c>
      <c r="J43" s="339" t="s">
        <v>325</v>
      </c>
      <c r="K43" s="337" t="str">
        <f t="shared" si="0"/>
        <v>管理部門</v>
      </c>
      <c r="L43" s="339" t="s">
        <v>123</v>
      </c>
      <c r="M43" s="340" t="str">
        <f t="shared" si="1"/>
        <v>南関東一般</v>
      </c>
      <c r="U43" s="136" t="s">
        <v>146</v>
      </c>
      <c r="V43" s="137"/>
    </row>
    <row r="44" spans="1:22" x14ac:dyDescent="0.15">
      <c r="A44" s="137" t="s">
        <v>343</v>
      </c>
      <c r="B44" s="136" t="s">
        <v>375</v>
      </c>
      <c r="C44" s="336" t="s">
        <v>428</v>
      </c>
      <c r="D44" s="337" t="s">
        <v>0</v>
      </c>
      <c r="E44" s="337" t="s">
        <v>112</v>
      </c>
      <c r="F44" s="338">
        <v>156000</v>
      </c>
      <c r="G44" s="338">
        <v>31500</v>
      </c>
      <c r="H44" s="338">
        <v>0</v>
      </c>
      <c r="I44" s="338">
        <v>26000</v>
      </c>
      <c r="J44" s="339" t="s">
        <v>325</v>
      </c>
      <c r="K44" s="337" t="str">
        <f t="shared" si="0"/>
        <v>管理部門</v>
      </c>
      <c r="L44" s="339" t="s">
        <v>123</v>
      </c>
      <c r="M44" s="340" t="str">
        <f t="shared" si="1"/>
        <v>南関東一般</v>
      </c>
      <c r="U44" s="136" t="s">
        <v>147</v>
      </c>
      <c r="V44" s="136" t="s">
        <v>285</v>
      </c>
    </row>
    <row r="45" spans="1:22" x14ac:dyDescent="0.15">
      <c r="A45" s="137" t="s">
        <v>343</v>
      </c>
      <c r="B45" s="136" t="s">
        <v>390</v>
      </c>
      <c r="C45" s="336" t="s">
        <v>420</v>
      </c>
      <c r="D45" s="337" t="s">
        <v>0</v>
      </c>
      <c r="E45" s="337" t="s">
        <v>112</v>
      </c>
      <c r="F45" s="338">
        <v>180310</v>
      </c>
      <c r="G45" s="338">
        <v>34090</v>
      </c>
      <c r="H45" s="338">
        <v>0</v>
      </c>
      <c r="I45" s="338">
        <v>0</v>
      </c>
      <c r="J45" s="339" t="s">
        <v>326</v>
      </c>
      <c r="K45" s="337" t="str">
        <f t="shared" si="0"/>
        <v>営業部門</v>
      </c>
      <c r="L45" s="339" t="s">
        <v>388</v>
      </c>
      <c r="M45" s="340" t="str">
        <f t="shared" si="1"/>
        <v>仙台営業</v>
      </c>
      <c r="U45" s="136" t="s">
        <v>148</v>
      </c>
      <c r="V45" s="137" t="s">
        <v>286</v>
      </c>
    </row>
    <row r="46" spans="1:22" x14ac:dyDescent="0.15">
      <c r="A46" s="137" t="s">
        <v>343</v>
      </c>
      <c r="B46" s="136" t="s">
        <v>440</v>
      </c>
      <c r="C46" s="336" t="s">
        <v>441</v>
      </c>
      <c r="D46" s="337" t="s">
        <v>392</v>
      </c>
      <c r="E46" s="337" t="s">
        <v>233</v>
      </c>
      <c r="F46" s="338">
        <v>223000</v>
      </c>
      <c r="G46" s="338">
        <v>0</v>
      </c>
      <c r="H46" s="338">
        <v>0</v>
      </c>
      <c r="I46" s="338">
        <v>0</v>
      </c>
      <c r="J46" s="339" t="s">
        <v>325</v>
      </c>
      <c r="K46" s="337" t="str">
        <f t="shared" si="0"/>
        <v>管理部門</v>
      </c>
      <c r="L46" s="339" t="s">
        <v>120</v>
      </c>
      <c r="M46" s="340" t="str">
        <f t="shared" si="1"/>
        <v>東京一般</v>
      </c>
      <c r="U46" s="136" t="s">
        <v>149</v>
      </c>
      <c r="V46" s="137" t="s">
        <v>287</v>
      </c>
    </row>
    <row r="47" spans="1:22" x14ac:dyDescent="0.15">
      <c r="A47" s="137" t="s">
        <v>343</v>
      </c>
      <c r="B47" s="136" t="s">
        <v>386</v>
      </c>
      <c r="C47" s="137" t="s">
        <v>439</v>
      </c>
      <c r="D47" s="144" t="s">
        <v>336</v>
      </c>
      <c r="E47" s="144" t="s">
        <v>233</v>
      </c>
      <c r="F47" s="145">
        <v>52920</v>
      </c>
      <c r="G47" s="145">
        <v>0</v>
      </c>
      <c r="H47" s="145">
        <v>0</v>
      </c>
      <c r="I47" s="145">
        <v>0</v>
      </c>
      <c r="J47" s="146" t="s">
        <v>325</v>
      </c>
      <c r="K47" s="144" t="str">
        <f t="shared" si="0"/>
        <v>管理部門</v>
      </c>
      <c r="L47" s="146" t="s">
        <v>127</v>
      </c>
      <c r="M47" s="147" t="str">
        <f t="shared" si="1"/>
        <v>仙台加工課</v>
      </c>
      <c r="U47" s="136" t="s">
        <v>150</v>
      </c>
      <c r="V47" s="137"/>
    </row>
    <row r="48" spans="1:22" x14ac:dyDescent="0.15">
      <c r="A48" s="137"/>
      <c r="B48" s="136"/>
      <c r="C48" s="137"/>
      <c r="D48" s="144"/>
      <c r="E48" s="144"/>
      <c r="F48" s="145"/>
      <c r="G48" s="145"/>
      <c r="H48" s="145"/>
      <c r="I48" s="145"/>
      <c r="J48" s="146"/>
      <c r="K48" s="144" t="str">
        <f t="shared" si="0"/>
        <v/>
      </c>
      <c r="L48" s="146"/>
      <c r="M48" s="147" t="str">
        <f t="shared" si="1"/>
        <v/>
      </c>
      <c r="U48" s="136" t="s">
        <v>151</v>
      </c>
      <c r="V48" s="137" t="s">
        <v>154</v>
      </c>
    </row>
    <row r="49" spans="1:22" x14ac:dyDescent="0.15">
      <c r="A49" s="137"/>
      <c r="B49" s="136"/>
      <c r="C49" s="137"/>
      <c r="D49" s="144"/>
      <c r="E49" s="144"/>
      <c r="F49" s="145"/>
      <c r="G49" s="145"/>
      <c r="H49" s="145"/>
      <c r="I49" s="145"/>
      <c r="J49" s="146"/>
      <c r="K49" s="144" t="str">
        <f t="shared" si="0"/>
        <v/>
      </c>
      <c r="L49" s="146"/>
      <c r="M49" s="147" t="str">
        <f t="shared" si="1"/>
        <v/>
      </c>
      <c r="U49" s="136" t="s">
        <v>152</v>
      </c>
      <c r="V49" s="137" t="s">
        <v>158</v>
      </c>
    </row>
    <row r="50" spans="1:22" x14ac:dyDescent="0.15">
      <c r="A50" s="137"/>
      <c r="B50" s="136"/>
      <c r="C50" s="137"/>
      <c r="D50" s="144"/>
      <c r="E50" s="144"/>
      <c r="F50" s="145"/>
      <c r="G50" s="145"/>
      <c r="H50" s="145"/>
      <c r="I50" s="145"/>
      <c r="J50" s="146"/>
      <c r="K50" s="144" t="str">
        <f t="shared" si="0"/>
        <v/>
      </c>
      <c r="L50" s="146"/>
      <c r="M50" s="147" t="str">
        <f t="shared" si="1"/>
        <v/>
      </c>
      <c r="U50" s="136" t="s">
        <v>153</v>
      </c>
      <c r="V50" s="137"/>
    </row>
    <row r="51" spans="1:22" x14ac:dyDescent="0.15">
      <c r="A51" s="137"/>
      <c r="B51" s="136"/>
      <c r="C51" s="137"/>
      <c r="D51" s="144"/>
      <c r="E51" s="144"/>
      <c r="F51" s="145"/>
      <c r="G51" s="145"/>
      <c r="H51" s="145"/>
      <c r="I51" s="145"/>
      <c r="J51" s="146"/>
      <c r="K51" s="144" t="str">
        <f t="shared" si="0"/>
        <v/>
      </c>
      <c r="L51" s="146"/>
      <c r="M51" s="147" t="str">
        <f t="shared" si="1"/>
        <v/>
      </c>
      <c r="U51" s="136" t="s">
        <v>157</v>
      </c>
      <c r="V51" s="137" t="s">
        <v>284</v>
      </c>
    </row>
    <row r="52" spans="1:22" x14ac:dyDescent="0.15">
      <c r="A52" s="137"/>
      <c r="B52" s="136"/>
      <c r="C52" s="137"/>
      <c r="D52" s="144"/>
      <c r="E52" s="144"/>
      <c r="F52" s="145"/>
      <c r="G52" s="145"/>
      <c r="H52" s="145"/>
      <c r="I52" s="145"/>
      <c r="J52" s="146"/>
      <c r="K52" s="144" t="str">
        <f t="shared" si="0"/>
        <v/>
      </c>
      <c r="L52" s="146"/>
      <c r="M52" s="147" t="str">
        <f t="shared" si="1"/>
        <v/>
      </c>
    </row>
    <row r="53" spans="1:22" x14ac:dyDescent="0.15">
      <c r="A53" s="137"/>
      <c r="B53" s="136"/>
      <c r="C53" s="137"/>
      <c r="D53" s="144"/>
      <c r="E53" s="144"/>
      <c r="F53" s="145"/>
      <c r="G53" s="145"/>
      <c r="H53" s="145"/>
      <c r="I53" s="145"/>
      <c r="J53" s="146"/>
      <c r="K53" s="144" t="str">
        <f t="shared" si="0"/>
        <v/>
      </c>
      <c r="L53" s="146"/>
      <c r="M53" s="147" t="str">
        <f t="shared" si="1"/>
        <v/>
      </c>
    </row>
    <row r="54" spans="1:22" x14ac:dyDescent="0.15">
      <c r="A54" s="137"/>
      <c r="B54" s="136"/>
      <c r="C54" s="137"/>
      <c r="D54" s="144"/>
      <c r="E54" s="144"/>
      <c r="F54" s="145"/>
      <c r="G54" s="145"/>
      <c r="H54" s="145"/>
      <c r="I54" s="145"/>
      <c r="J54" s="146"/>
      <c r="K54" s="144" t="str">
        <f t="shared" si="0"/>
        <v/>
      </c>
      <c r="L54" s="146"/>
      <c r="M54" s="147" t="str">
        <f t="shared" si="1"/>
        <v/>
      </c>
    </row>
    <row r="55" spans="1:22" x14ac:dyDescent="0.15">
      <c r="A55" s="137"/>
      <c r="B55" s="136"/>
      <c r="C55" s="137"/>
      <c r="D55" s="144"/>
      <c r="E55" s="144"/>
      <c r="F55" s="145"/>
      <c r="G55" s="145"/>
      <c r="H55" s="145"/>
      <c r="I55" s="145"/>
      <c r="J55" s="146"/>
      <c r="K55" s="144" t="str">
        <f t="shared" si="0"/>
        <v/>
      </c>
      <c r="L55" s="146"/>
      <c r="M55" s="147" t="str">
        <f t="shared" si="1"/>
        <v/>
      </c>
    </row>
    <row r="56" spans="1:22" x14ac:dyDescent="0.15">
      <c r="A56" s="137"/>
      <c r="B56" s="136"/>
      <c r="C56" s="137"/>
      <c r="D56" s="144"/>
      <c r="E56" s="144"/>
      <c r="F56" s="145"/>
      <c r="G56" s="145"/>
      <c r="H56" s="145"/>
      <c r="I56" s="145"/>
      <c r="J56" s="146"/>
      <c r="K56" s="144" t="str">
        <f t="shared" si="0"/>
        <v/>
      </c>
      <c r="L56" s="146"/>
      <c r="M56" s="147" t="str">
        <f t="shared" si="1"/>
        <v/>
      </c>
    </row>
    <row r="57" spans="1:22" x14ac:dyDescent="0.15">
      <c r="A57" s="137"/>
      <c r="B57" s="136"/>
      <c r="C57" s="137"/>
      <c r="D57" s="144"/>
      <c r="E57" s="144"/>
      <c r="F57" s="145"/>
      <c r="G57" s="145"/>
      <c r="H57" s="145"/>
      <c r="I57" s="145"/>
      <c r="J57" s="146"/>
      <c r="K57" s="144" t="str">
        <f t="shared" si="0"/>
        <v/>
      </c>
      <c r="L57" s="146"/>
      <c r="M57" s="147" t="str">
        <f t="shared" si="1"/>
        <v/>
      </c>
    </row>
    <row r="58" spans="1:22" x14ac:dyDescent="0.15">
      <c r="A58" s="137"/>
      <c r="B58" s="136"/>
      <c r="C58" s="137"/>
      <c r="D58" s="144"/>
      <c r="E58" s="144"/>
      <c r="F58" s="145"/>
      <c r="G58" s="145"/>
      <c r="H58" s="145"/>
      <c r="I58" s="145"/>
      <c r="J58" s="146"/>
      <c r="K58" s="144" t="str">
        <f t="shared" si="0"/>
        <v/>
      </c>
      <c r="L58" s="146"/>
      <c r="M58" s="147" t="str">
        <f t="shared" si="1"/>
        <v/>
      </c>
    </row>
    <row r="59" spans="1:22" x14ac:dyDescent="0.15">
      <c r="A59" s="137"/>
      <c r="B59" s="136"/>
      <c r="C59" s="137"/>
      <c r="D59" s="144"/>
      <c r="E59" s="144"/>
      <c r="F59" s="145"/>
      <c r="G59" s="145"/>
      <c r="H59" s="145"/>
      <c r="I59" s="145"/>
      <c r="J59" s="146"/>
      <c r="K59" s="144" t="str">
        <f t="shared" si="0"/>
        <v/>
      </c>
      <c r="L59" s="146"/>
      <c r="M59" s="147" t="str">
        <f t="shared" si="1"/>
        <v/>
      </c>
    </row>
    <row r="60" spans="1:22" x14ac:dyDescent="0.15">
      <c r="A60" s="137"/>
      <c r="B60" s="136"/>
      <c r="C60" s="137"/>
      <c r="D60" s="144"/>
      <c r="E60" s="144"/>
      <c r="F60" s="145"/>
      <c r="G60" s="145"/>
      <c r="H60" s="145"/>
      <c r="I60" s="145"/>
      <c r="J60" s="146"/>
      <c r="K60" s="144" t="str">
        <f t="shared" si="0"/>
        <v/>
      </c>
      <c r="L60" s="146"/>
      <c r="M60" s="147" t="str">
        <f t="shared" si="1"/>
        <v/>
      </c>
    </row>
    <row r="61" spans="1:22" x14ac:dyDescent="0.15">
      <c r="A61" s="137"/>
      <c r="B61" s="136"/>
      <c r="C61" s="137"/>
      <c r="D61" s="144"/>
      <c r="E61" s="144"/>
      <c r="F61" s="145"/>
      <c r="G61" s="145"/>
      <c r="H61" s="145"/>
      <c r="I61" s="145"/>
      <c r="J61" s="146"/>
      <c r="K61" s="144" t="str">
        <f t="shared" si="0"/>
        <v/>
      </c>
      <c r="L61" s="146"/>
      <c r="M61" s="147" t="str">
        <f t="shared" si="1"/>
        <v/>
      </c>
    </row>
    <row r="62" spans="1:22" x14ac:dyDescent="0.15">
      <c r="A62" s="137"/>
      <c r="B62" s="136"/>
      <c r="C62" s="137"/>
      <c r="D62" s="144"/>
      <c r="E62" s="144"/>
      <c r="F62" s="145"/>
      <c r="G62" s="145"/>
      <c r="H62" s="145"/>
      <c r="I62" s="145"/>
      <c r="J62" s="146"/>
      <c r="K62" s="144" t="str">
        <f t="shared" si="0"/>
        <v/>
      </c>
      <c r="L62" s="146"/>
      <c r="M62" s="147" t="str">
        <f t="shared" si="1"/>
        <v/>
      </c>
    </row>
    <row r="63" spans="1:22" x14ac:dyDescent="0.15">
      <c r="A63" s="137"/>
      <c r="B63" s="136"/>
      <c r="C63" s="137"/>
      <c r="D63" s="144"/>
      <c r="E63" s="144"/>
      <c r="F63" s="145"/>
      <c r="G63" s="145"/>
      <c r="H63" s="145"/>
      <c r="I63" s="145"/>
      <c r="J63" s="146"/>
      <c r="K63" s="144" t="str">
        <f t="shared" si="0"/>
        <v/>
      </c>
      <c r="L63" s="146"/>
      <c r="M63" s="147" t="str">
        <f t="shared" si="1"/>
        <v/>
      </c>
    </row>
    <row r="64" spans="1:22" x14ac:dyDescent="0.15">
      <c r="A64" s="137"/>
      <c r="B64" s="136"/>
      <c r="C64" s="137"/>
      <c r="D64" s="144"/>
      <c r="E64" s="144"/>
      <c r="F64" s="145"/>
      <c r="G64" s="145"/>
      <c r="H64" s="145"/>
      <c r="I64" s="145"/>
      <c r="J64" s="146"/>
      <c r="K64" s="144" t="str">
        <f t="shared" si="0"/>
        <v/>
      </c>
      <c r="L64" s="146"/>
      <c r="M64" s="147" t="str">
        <f t="shared" si="1"/>
        <v/>
      </c>
    </row>
    <row r="65" spans="1:13" x14ac:dyDescent="0.15">
      <c r="A65" s="137"/>
      <c r="B65" s="136"/>
      <c r="C65" s="137"/>
      <c r="D65" s="144"/>
      <c r="E65" s="144"/>
      <c r="F65" s="145"/>
      <c r="G65" s="145"/>
      <c r="H65" s="145"/>
      <c r="I65" s="145"/>
      <c r="J65" s="146"/>
      <c r="K65" s="144" t="str">
        <f t="shared" si="0"/>
        <v/>
      </c>
      <c r="L65" s="146"/>
      <c r="M65" s="147" t="str">
        <f t="shared" si="1"/>
        <v/>
      </c>
    </row>
    <row r="66" spans="1:13" x14ac:dyDescent="0.15">
      <c r="A66" s="137"/>
      <c r="B66" s="136"/>
      <c r="C66" s="137"/>
      <c r="D66" s="144"/>
      <c r="E66" s="144"/>
      <c r="F66" s="145"/>
      <c r="G66" s="145"/>
      <c r="H66" s="145"/>
      <c r="I66" s="145"/>
      <c r="J66" s="146"/>
      <c r="K66" s="144" t="str">
        <f t="shared" si="0"/>
        <v/>
      </c>
      <c r="L66" s="146"/>
      <c r="M66" s="147" t="str">
        <f t="shared" si="1"/>
        <v/>
      </c>
    </row>
    <row r="67" spans="1:13" x14ac:dyDescent="0.15">
      <c r="A67" s="137"/>
      <c r="B67" s="136"/>
      <c r="C67" s="137"/>
      <c r="D67" s="144"/>
      <c r="E67" s="144"/>
      <c r="F67" s="145"/>
      <c r="G67" s="145"/>
      <c r="H67" s="145"/>
      <c r="I67" s="145"/>
      <c r="J67" s="146"/>
      <c r="K67" s="144" t="str">
        <f t="shared" si="0"/>
        <v/>
      </c>
      <c r="L67" s="146"/>
      <c r="M67" s="147" t="str">
        <f t="shared" si="1"/>
        <v/>
      </c>
    </row>
    <row r="68" spans="1:13" x14ac:dyDescent="0.15">
      <c r="A68" s="137"/>
      <c r="B68" s="136"/>
      <c r="C68" s="137"/>
      <c r="D68" s="144"/>
      <c r="E68" s="144"/>
      <c r="F68" s="145"/>
      <c r="G68" s="145"/>
      <c r="H68" s="145"/>
      <c r="I68" s="145"/>
      <c r="J68" s="146"/>
      <c r="K68" s="144" t="str">
        <f>IF(J68="","",VLOOKUP(J68,$S$2:$T$6,2,FALSE))</f>
        <v/>
      </c>
      <c r="L68" s="146"/>
      <c r="M68" s="147" t="str">
        <f t="shared" si="1"/>
        <v/>
      </c>
    </row>
    <row r="69" spans="1:13" x14ac:dyDescent="0.15">
      <c r="A69" s="137"/>
      <c r="B69" s="136"/>
      <c r="C69" s="137"/>
      <c r="D69" s="144"/>
      <c r="E69" s="144"/>
      <c r="F69" s="145"/>
      <c r="G69" s="145"/>
      <c r="H69" s="145"/>
      <c r="I69" s="145"/>
      <c r="J69" s="146"/>
      <c r="K69" s="144" t="str">
        <f t="shared" ref="K69:K132" si="2">IF(J69="","",VLOOKUP(J69,$S$2:$T$6,2,FALSE))</f>
        <v/>
      </c>
      <c r="L69" s="146"/>
      <c r="M69" s="147" t="str">
        <f t="shared" ref="M69:M132" si="3">IF(L69="","",VLOOKUP(L69,$U$2:$V$51,2,FALSE))</f>
        <v/>
      </c>
    </row>
    <row r="70" spans="1:13" x14ac:dyDescent="0.15">
      <c r="A70" s="137"/>
      <c r="B70" s="136"/>
      <c r="C70" s="137"/>
      <c r="D70" s="144"/>
      <c r="E70" s="144"/>
      <c r="F70" s="145"/>
      <c r="G70" s="145"/>
      <c r="H70" s="145"/>
      <c r="I70" s="145"/>
      <c r="J70" s="146"/>
      <c r="K70" s="144" t="str">
        <f t="shared" si="2"/>
        <v/>
      </c>
      <c r="L70" s="146"/>
      <c r="M70" s="147" t="str">
        <f t="shared" si="3"/>
        <v/>
      </c>
    </row>
    <row r="71" spans="1:13" x14ac:dyDescent="0.15">
      <c r="A71" s="137"/>
      <c r="B71" s="136"/>
      <c r="C71" s="137"/>
      <c r="D71" s="144"/>
      <c r="E71" s="144"/>
      <c r="F71" s="145"/>
      <c r="G71" s="145"/>
      <c r="H71" s="145"/>
      <c r="I71" s="145"/>
      <c r="J71" s="146"/>
      <c r="K71" s="144" t="str">
        <f t="shared" si="2"/>
        <v/>
      </c>
      <c r="L71" s="146"/>
      <c r="M71" s="147" t="str">
        <f t="shared" si="3"/>
        <v/>
      </c>
    </row>
    <row r="72" spans="1:13" x14ac:dyDescent="0.15">
      <c r="A72" s="137"/>
      <c r="B72" s="136"/>
      <c r="C72" s="137"/>
      <c r="D72" s="144"/>
      <c r="E72" s="144"/>
      <c r="F72" s="145"/>
      <c r="G72" s="145"/>
      <c r="H72" s="145"/>
      <c r="I72" s="145"/>
      <c r="J72" s="146"/>
      <c r="K72" s="144" t="str">
        <f t="shared" si="2"/>
        <v/>
      </c>
      <c r="L72" s="146"/>
      <c r="M72" s="147" t="str">
        <f t="shared" si="3"/>
        <v/>
      </c>
    </row>
    <row r="73" spans="1:13" x14ac:dyDescent="0.15">
      <c r="A73" s="137"/>
      <c r="B73" s="136"/>
      <c r="C73" s="137"/>
      <c r="D73" s="144"/>
      <c r="E73" s="144"/>
      <c r="F73" s="145"/>
      <c r="G73" s="145"/>
      <c r="H73" s="145"/>
      <c r="I73" s="145"/>
      <c r="J73" s="146"/>
      <c r="K73" s="144" t="str">
        <f t="shared" si="2"/>
        <v/>
      </c>
      <c r="L73" s="146"/>
      <c r="M73" s="147" t="str">
        <f t="shared" si="3"/>
        <v/>
      </c>
    </row>
    <row r="74" spans="1:13" x14ac:dyDescent="0.15">
      <c r="A74" s="137"/>
      <c r="B74" s="136"/>
      <c r="C74" s="137"/>
      <c r="D74" s="144"/>
      <c r="E74" s="144"/>
      <c r="F74" s="145"/>
      <c r="G74" s="145"/>
      <c r="H74" s="145"/>
      <c r="I74" s="145"/>
      <c r="J74" s="146"/>
      <c r="K74" s="144" t="str">
        <f t="shared" si="2"/>
        <v/>
      </c>
      <c r="L74" s="146"/>
      <c r="M74" s="147" t="str">
        <f t="shared" si="3"/>
        <v/>
      </c>
    </row>
    <row r="75" spans="1:13" x14ac:dyDescent="0.15">
      <c r="A75" s="137"/>
      <c r="B75" s="136"/>
      <c r="C75" s="137"/>
      <c r="D75" s="144"/>
      <c r="E75" s="144"/>
      <c r="F75" s="145"/>
      <c r="G75" s="145"/>
      <c r="H75" s="145"/>
      <c r="I75" s="145"/>
      <c r="J75" s="146"/>
      <c r="K75" s="144" t="str">
        <f t="shared" si="2"/>
        <v/>
      </c>
      <c r="L75" s="146"/>
      <c r="M75" s="147" t="str">
        <f t="shared" si="3"/>
        <v/>
      </c>
    </row>
    <row r="76" spans="1:13" x14ac:dyDescent="0.15">
      <c r="A76" s="137"/>
      <c r="B76" s="136"/>
      <c r="C76" s="137"/>
      <c r="D76" s="144"/>
      <c r="E76" s="144"/>
      <c r="F76" s="145"/>
      <c r="G76" s="145"/>
      <c r="H76" s="145"/>
      <c r="I76" s="145"/>
      <c r="J76" s="146"/>
      <c r="K76" s="144" t="str">
        <f t="shared" si="2"/>
        <v/>
      </c>
      <c r="L76" s="146"/>
      <c r="M76" s="147" t="str">
        <f t="shared" si="3"/>
        <v/>
      </c>
    </row>
    <row r="77" spans="1:13" x14ac:dyDescent="0.15">
      <c r="A77" s="137"/>
      <c r="B77" s="136"/>
      <c r="C77" s="137"/>
      <c r="D77" s="144"/>
      <c r="E77" s="144"/>
      <c r="F77" s="145"/>
      <c r="G77" s="145"/>
      <c r="H77" s="145"/>
      <c r="I77" s="145"/>
      <c r="J77" s="146"/>
      <c r="K77" s="144" t="str">
        <f t="shared" si="2"/>
        <v/>
      </c>
      <c r="L77" s="146"/>
      <c r="M77" s="147" t="str">
        <f t="shared" si="3"/>
        <v/>
      </c>
    </row>
    <row r="78" spans="1:13" x14ac:dyDescent="0.15">
      <c r="A78" s="137"/>
      <c r="B78" s="136"/>
      <c r="C78" s="137"/>
      <c r="D78" s="144"/>
      <c r="E78" s="144"/>
      <c r="F78" s="145"/>
      <c r="G78" s="145"/>
      <c r="H78" s="145"/>
      <c r="I78" s="145"/>
      <c r="J78" s="146"/>
      <c r="K78" s="144" t="str">
        <f t="shared" si="2"/>
        <v/>
      </c>
      <c r="L78" s="146"/>
      <c r="M78" s="147" t="str">
        <f t="shared" si="3"/>
        <v/>
      </c>
    </row>
    <row r="79" spans="1:13" x14ac:dyDescent="0.15">
      <c r="A79" s="137"/>
      <c r="B79" s="136"/>
      <c r="C79" s="137"/>
      <c r="D79" s="144"/>
      <c r="E79" s="144"/>
      <c r="F79" s="145"/>
      <c r="G79" s="145"/>
      <c r="H79" s="145"/>
      <c r="I79" s="145"/>
      <c r="J79" s="146"/>
      <c r="K79" s="144" t="str">
        <f t="shared" si="2"/>
        <v/>
      </c>
      <c r="L79" s="146"/>
      <c r="M79" s="147" t="str">
        <f t="shared" si="3"/>
        <v/>
      </c>
    </row>
    <row r="80" spans="1:13" x14ac:dyDescent="0.15">
      <c r="A80" s="137"/>
      <c r="B80" s="136"/>
      <c r="C80" s="137"/>
      <c r="D80" s="144"/>
      <c r="E80" s="144"/>
      <c r="F80" s="145"/>
      <c r="G80" s="145"/>
      <c r="H80" s="145"/>
      <c r="I80" s="145"/>
      <c r="J80" s="146"/>
      <c r="K80" s="144" t="str">
        <f t="shared" si="2"/>
        <v/>
      </c>
      <c r="L80" s="146"/>
      <c r="M80" s="147" t="str">
        <f t="shared" si="3"/>
        <v/>
      </c>
    </row>
    <row r="81" spans="1:13" x14ac:dyDescent="0.15">
      <c r="A81" s="137"/>
      <c r="B81" s="136"/>
      <c r="C81" s="137"/>
      <c r="D81" s="144"/>
      <c r="E81" s="144"/>
      <c r="F81" s="145"/>
      <c r="G81" s="145"/>
      <c r="H81" s="145"/>
      <c r="I81" s="145"/>
      <c r="J81" s="146"/>
      <c r="K81" s="144" t="str">
        <f t="shared" si="2"/>
        <v/>
      </c>
      <c r="L81" s="146"/>
      <c r="M81" s="147" t="str">
        <f t="shared" si="3"/>
        <v/>
      </c>
    </row>
    <row r="82" spans="1:13" x14ac:dyDescent="0.15">
      <c r="A82" s="137"/>
      <c r="B82" s="136"/>
      <c r="C82" s="137"/>
      <c r="D82" s="144"/>
      <c r="E82" s="144"/>
      <c r="F82" s="145"/>
      <c r="G82" s="145"/>
      <c r="H82" s="145"/>
      <c r="I82" s="145"/>
      <c r="J82" s="146"/>
      <c r="K82" s="144" t="str">
        <f t="shared" si="2"/>
        <v/>
      </c>
      <c r="L82" s="146"/>
      <c r="M82" s="147" t="str">
        <f t="shared" si="3"/>
        <v/>
      </c>
    </row>
    <row r="83" spans="1:13" x14ac:dyDescent="0.15">
      <c r="A83" s="137"/>
      <c r="B83" s="136"/>
      <c r="C83" s="137"/>
      <c r="D83" s="144"/>
      <c r="E83" s="144"/>
      <c r="F83" s="145"/>
      <c r="G83" s="145"/>
      <c r="H83" s="145"/>
      <c r="I83" s="145"/>
      <c r="J83" s="146"/>
      <c r="K83" s="144" t="str">
        <f t="shared" si="2"/>
        <v/>
      </c>
      <c r="L83" s="146"/>
      <c r="M83" s="147" t="str">
        <f t="shared" si="3"/>
        <v/>
      </c>
    </row>
    <row r="84" spans="1:13" x14ac:dyDescent="0.15">
      <c r="A84" s="137"/>
      <c r="B84" s="136"/>
      <c r="C84" s="137"/>
      <c r="D84" s="144"/>
      <c r="E84" s="144"/>
      <c r="F84" s="145"/>
      <c r="G84" s="145"/>
      <c r="H84" s="145"/>
      <c r="I84" s="145"/>
      <c r="J84" s="146"/>
      <c r="K84" s="144" t="str">
        <f t="shared" si="2"/>
        <v/>
      </c>
      <c r="L84" s="146"/>
      <c r="M84" s="147" t="str">
        <f t="shared" si="3"/>
        <v/>
      </c>
    </row>
    <row r="85" spans="1:13" x14ac:dyDescent="0.15">
      <c r="A85" s="137"/>
      <c r="B85" s="136"/>
      <c r="C85" s="137"/>
      <c r="D85" s="144"/>
      <c r="E85" s="144"/>
      <c r="F85" s="145"/>
      <c r="G85" s="145"/>
      <c r="H85" s="145"/>
      <c r="I85" s="145"/>
      <c r="J85" s="146"/>
      <c r="K85" s="144" t="str">
        <f t="shared" si="2"/>
        <v/>
      </c>
      <c r="L85" s="146"/>
      <c r="M85" s="147" t="str">
        <f t="shared" si="3"/>
        <v/>
      </c>
    </row>
    <row r="86" spans="1:13" x14ac:dyDescent="0.15">
      <c r="A86" s="137"/>
      <c r="B86" s="136"/>
      <c r="C86" s="137"/>
      <c r="D86" s="144"/>
      <c r="E86" s="144"/>
      <c r="F86" s="145"/>
      <c r="G86" s="145"/>
      <c r="H86" s="145"/>
      <c r="I86" s="145"/>
      <c r="J86" s="146"/>
      <c r="K86" s="144" t="str">
        <f t="shared" si="2"/>
        <v/>
      </c>
      <c r="L86" s="146"/>
      <c r="M86" s="147" t="str">
        <f t="shared" si="3"/>
        <v/>
      </c>
    </row>
    <row r="87" spans="1:13" x14ac:dyDescent="0.15">
      <c r="A87" s="137"/>
      <c r="B87" s="136"/>
      <c r="C87" s="137"/>
      <c r="D87" s="144"/>
      <c r="E87" s="144"/>
      <c r="F87" s="145"/>
      <c r="G87" s="145"/>
      <c r="H87" s="145"/>
      <c r="I87" s="145"/>
      <c r="J87" s="146"/>
      <c r="K87" s="144" t="str">
        <f t="shared" si="2"/>
        <v/>
      </c>
      <c r="L87" s="146"/>
      <c r="M87" s="147" t="str">
        <f t="shared" si="3"/>
        <v/>
      </c>
    </row>
    <row r="88" spans="1:13" x14ac:dyDescent="0.15">
      <c r="A88" s="137"/>
      <c r="B88" s="136"/>
      <c r="C88" s="137"/>
      <c r="D88" s="144"/>
      <c r="E88" s="144"/>
      <c r="F88" s="145"/>
      <c r="G88" s="145"/>
      <c r="H88" s="145"/>
      <c r="I88" s="145"/>
      <c r="J88" s="146"/>
      <c r="K88" s="144" t="str">
        <f t="shared" si="2"/>
        <v/>
      </c>
      <c r="L88" s="146"/>
      <c r="M88" s="147" t="str">
        <f t="shared" si="3"/>
        <v/>
      </c>
    </row>
    <row r="89" spans="1:13" x14ac:dyDescent="0.15">
      <c r="A89" s="137"/>
      <c r="B89" s="136"/>
      <c r="C89" s="137"/>
      <c r="D89" s="144"/>
      <c r="E89" s="144"/>
      <c r="F89" s="145"/>
      <c r="G89" s="145"/>
      <c r="H89" s="145"/>
      <c r="I89" s="145"/>
      <c r="J89" s="146"/>
      <c r="K89" s="144" t="str">
        <f t="shared" si="2"/>
        <v/>
      </c>
      <c r="L89" s="146"/>
      <c r="M89" s="147" t="str">
        <f t="shared" si="3"/>
        <v/>
      </c>
    </row>
    <row r="90" spans="1:13" x14ac:dyDescent="0.15">
      <c r="A90" s="137"/>
      <c r="B90" s="136"/>
      <c r="C90" s="137"/>
      <c r="D90" s="144"/>
      <c r="E90" s="144"/>
      <c r="F90" s="145"/>
      <c r="G90" s="145"/>
      <c r="H90" s="145"/>
      <c r="I90" s="145"/>
      <c r="J90" s="146"/>
      <c r="K90" s="144" t="str">
        <f t="shared" si="2"/>
        <v/>
      </c>
      <c r="L90" s="146"/>
      <c r="M90" s="147" t="str">
        <f t="shared" si="3"/>
        <v/>
      </c>
    </row>
    <row r="91" spans="1:13" x14ac:dyDescent="0.15">
      <c r="A91" s="137"/>
      <c r="B91" s="136"/>
      <c r="C91" s="137"/>
      <c r="D91" s="144"/>
      <c r="E91" s="144"/>
      <c r="F91" s="145"/>
      <c r="G91" s="145"/>
      <c r="H91" s="145"/>
      <c r="I91" s="145"/>
      <c r="J91" s="146"/>
      <c r="K91" s="144" t="str">
        <f t="shared" si="2"/>
        <v/>
      </c>
      <c r="L91" s="146"/>
      <c r="M91" s="147" t="str">
        <f t="shared" si="3"/>
        <v/>
      </c>
    </row>
    <row r="92" spans="1:13" x14ac:dyDescent="0.15">
      <c r="A92" s="137"/>
      <c r="B92" s="136"/>
      <c r="C92" s="137"/>
      <c r="D92" s="144"/>
      <c r="E92" s="144"/>
      <c r="F92" s="145"/>
      <c r="G92" s="145"/>
      <c r="H92" s="145"/>
      <c r="I92" s="145"/>
      <c r="J92" s="146"/>
      <c r="K92" s="144" t="str">
        <f t="shared" si="2"/>
        <v/>
      </c>
      <c r="L92" s="146"/>
      <c r="M92" s="147" t="str">
        <f t="shared" si="3"/>
        <v/>
      </c>
    </row>
    <row r="93" spans="1:13" x14ac:dyDescent="0.15">
      <c r="A93" s="137"/>
      <c r="B93" s="136"/>
      <c r="C93" s="137"/>
      <c r="D93" s="144"/>
      <c r="E93" s="144"/>
      <c r="F93" s="145"/>
      <c r="G93" s="145"/>
      <c r="H93" s="145"/>
      <c r="I93" s="145"/>
      <c r="J93" s="146"/>
      <c r="K93" s="144" t="str">
        <f t="shared" si="2"/>
        <v/>
      </c>
      <c r="L93" s="146"/>
      <c r="M93" s="147" t="str">
        <f t="shared" si="3"/>
        <v/>
      </c>
    </row>
    <row r="94" spans="1:13" x14ac:dyDescent="0.15">
      <c r="A94" s="137"/>
      <c r="B94" s="136"/>
      <c r="C94" s="137"/>
      <c r="D94" s="144"/>
      <c r="E94" s="144"/>
      <c r="F94" s="145"/>
      <c r="G94" s="145"/>
      <c r="H94" s="145"/>
      <c r="I94" s="145"/>
      <c r="J94" s="146"/>
      <c r="K94" s="144" t="str">
        <f t="shared" si="2"/>
        <v/>
      </c>
      <c r="L94" s="146"/>
      <c r="M94" s="147" t="str">
        <f t="shared" si="3"/>
        <v/>
      </c>
    </row>
    <row r="95" spans="1:13" x14ac:dyDescent="0.15">
      <c r="A95" s="137"/>
      <c r="B95" s="136"/>
      <c r="C95" s="137"/>
      <c r="D95" s="144"/>
      <c r="E95" s="144"/>
      <c r="F95" s="145"/>
      <c r="G95" s="145"/>
      <c r="H95" s="145"/>
      <c r="I95" s="145"/>
      <c r="J95" s="146"/>
      <c r="K95" s="144" t="str">
        <f t="shared" si="2"/>
        <v/>
      </c>
      <c r="L95" s="146"/>
      <c r="M95" s="147" t="str">
        <f t="shared" si="3"/>
        <v/>
      </c>
    </row>
    <row r="96" spans="1:13" x14ac:dyDescent="0.15">
      <c r="A96" s="137"/>
      <c r="B96" s="136"/>
      <c r="C96" s="137"/>
      <c r="D96" s="144"/>
      <c r="E96" s="144"/>
      <c r="F96" s="145"/>
      <c r="G96" s="145"/>
      <c r="H96" s="145"/>
      <c r="I96" s="145"/>
      <c r="J96" s="146"/>
      <c r="K96" s="144" t="str">
        <f t="shared" si="2"/>
        <v/>
      </c>
      <c r="L96" s="146"/>
      <c r="M96" s="147" t="str">
        <f t="shared" si="3"/>
        <v/>
      </c>
    </row>
    <row r="97" spans="1:13" x14ac:dyDescent="0.15">
      <c r="A97" s="137"/>
      <c r="B97" s="136"/>
      <c r="C97" s="137"/>
      <c r="D97" s="144"/>
      <c r="E97" s="144"/>
      <c r="F97" s="145"/>
      <c r="G97" s="145"/>
      <c r="H97" s="145"/>
      <c r="I97" s="145"/>
      <c r="J97" s="146"/>
      <c r="K97" s="144" t="str">
        <f t="shared" si="2"/>
        <v/>
      </c>
      <c r="L97" s="146"/>
      <c r="M97" s="147" t="str">
        <f t="shared" si="3"/>
        <v/>
      </c>
    </row>
    <row r="98" spans="1:13" x14ac:dyDescent="0.15">
      <c r="A98" s="137"/>
      <c r="B98" s="136"/>
      <c r="C98" s="137"/>
      <c r="D98" s="144"/>
      <c r="E98" s="144"/>
      <c r="F98" s="145"/>
      <c r="G98" s="145"/>
      <c r="H98" s="145"/>
      <c r="I98" s="145"/>
      <c r="J98" s="146"/>
      <c r="K98" s="144" t="str">
        <f t="shared" si="2"/>
        <v/>
      </c>
      <c r="L98" s="146"/>
      <c r="M98" s="147" t="str">
        <f t="shared" si="3"/>
        <v/>
      </c>
    </row>
    <row r="99" spans="1:13" x14ac:dyDescent="0.15">
      <c r="A99" s="137"/>
      <c r="B99" s="136"/>
      <c r="C99" s="137"/>
      <c r="D99" s="144"/>
      <c r="E99" s="144"/>
      <c r="F99" s="145"/>
      <c r="G99" s="145"/>
      <c r="H99" s="145"/>
      <c r="I99" s="145"/>
      <c r="J99" s="146"/>
      <c r="K99" s="144" t="str">
        <f t="shared" si="2"/>
        <v/>
      </c>
      <c r="L99" s="146"/>
      <c r="M99" s="147" t="str">
        <f t="shared" si="3"/>
        <v/>
      </c>
    </row>
    <row r="100" spans="1:13" x14ac:dyDescent="0.15">
      <c r="A100" s="137"/>
      <c r="B100" s="136"/>
      <c r="C100" s="137"/>
      <c r="D100" s="144"/>
      <c r="E100" s="144"/>
      <c r="F100" s="145"/>
      <c r="G100" s="145"/>
      <c r="H100" s="145"/>
      <c r="I100" s="145"/>
      <c r="J100" s="146"/>
      <c r="K100" s="144" t="str">
        <f t="shared" si="2"/>
        <v/>
      </c>
      <c r="L100" s="146"/>
      <c r="M100" s="147" t="str">
        <f t="shared" si="3"/>
        <v/>
      </c>
    </row>
    <row r="101" spans="1:13" x14ac:dyDescent="0.15">
      <c r="A101" s="137"/>
      <c r="B101" s="136"/>
      <c r="C101" s="137"/>
      <c r="D101" s="144"/>
      <c r="E101" s="144"/>
      <c r="F101" s="145"/>
      <c r="G101" s="145"/>
      <c r="H101" s="145"/>
      <c r="I101" s="145"/>
      <c r="J101" s="146"/>
      <c r="K101" s="144" t="str">
        <f t="shared" si="2"/>
        <v/>
      </c>
      <c r="L101" s="146"/>
      <c r="M101" s="147" t="str">
        <f t="shared" si="3"/>
        <v/>
      </c>
    </row>
    <row r="102" spans="1:13" x14ac:dyDescent="0.15">
      <c r="A102" s="137"/>
      <c r="B102" s="136"/>
      <c r="C102" s="137"/>
      <c r="D102" s="144"/>
      <c r="E102" s="144"/>
      <c r="F102" s="145"/>
      <c r="G102" s="145"/>
      <c r="H102" s="145"/>
      <c r="I102" s="145"/>
      <c r="J102" s="146"/>
      <c r="K102" s="144" t="str">
        <f t="shared" si="2"/>
        <v/>
      </c>
      <c r="L102" s="146"/>
      <c r="M102" s="147" t="str">
        <f t="shared" si="3"/>
        <v/>
      </c>
    </row>
    <row r="103" spans="1:13" x14ac:dyDescent="0.15">
      <c r="A103" s="137"/>
      <c r="B103" s="136"/>
      <c r="C103" s="137"/>
      <c r="D103" s="144"/>
      <c r="E103" s="144"/>
      <c r="F103" s="145"/>
      <c r="G103" s="145"/>
      <c r="H103" s="145"/>
      <c r="I103" s="145"/>
      <c r="J103" s="146"/>
      <c r="K103" s="144" t="str">
        <f t="shared" si="2"/>
        <v/>
      </c>
      <c r="L103" s="146"/>
      <c r="M103" s="147" t="str">
        <f t="shared" si="3"/>
        <v/>
      </c>
    </row>
    <row r="104" spans="1:13" x14ac:dyDescent="0.15">
      <c r="A104" s="137"/>
      <c r="B104" s="136"/>
      <c r="C104" s="137"/>
      <c r="D104" s="144"/>
      <c r="E104" s="144"/>
      <c r="F104" s="145"/>
      <c r="G104" s="145"/>
      <c r="H104" s="145"/>
      <c r="I104" s="145"/>
      <c r="J104" s="146"/>
      <c r="K104" s="144" t="str">
        <f t="shared" si="2"/>
        <v/>
      </c>
      <c r="L104" s="146"/>
      <c r="M104" s="147" t="str">
        <f t="shared" si="3"/>
        <v/>
      </c>
    </row>
    <row r="105" spans="1:13" x14ac:dyDescent="0.15">
      <c r="A105" s="137"/>
      <c r="B105" s="136"/>
      <c r="C105" s="137"/>
      <c r="D105" s="144"/>
      <c r="E105" s="144"/>
      <c r="F105" s="145"/>
      <c r="G105" s="145"/>
      <c r="H105" s="145"/>
      <c r="I105" s="145"/>
      <c r="J105" s="146"/>
      <c r="K105" s="144" t="str">
        <f t="shared" si="2"/>
        <v/>
      </c>
      <c r="L105" s="146"/>
      <c r="M105" s="147" t="str">
        <f t="shared" si="3"/>
        <v/>
      </c>
    </row>
    <row r="106" spans="1:13" x14ac:dyDescent="0.15">
      <c r="A106" s="137"/>
      <c r="B106" s="136"/>
      <c r="C106" s="137"/>
      <c r="D106" s="144"/>
      <c r="E106" s="144"/>
      <c r="F106" s="145"/>
      <c r="G106" s="145"/>
      <c r="H106" s="145"/>
      <c r="I106" s="145"/>
      <c r="J106" s="146"/>
      <c r="K106" s="144" t="str">
        <f t="shared" si="2"/>
        <v/>
      </c>
      <c r="L106" s="146"/>
      <c r="M106" s="147" t="str">
        <f t="shared" si="3"/>
        <v/>
      </c>
    </row>
    <row r="107" spans="1:13" x14ac:dyDescent="0.15">
      <c r="A107" s="137"/>
      <c r="B107" s="136"/>
      <c r="C107" s="137"/>
      <c r="D107" s="144"/>
      <c r="E107" s="144"/>
      <c r="F107" s="145"/>
      <c r="G107" s="145"/>
      <c r="H107" s="145"/>
      <c r="I107" s="145"/>
      <c r="J107" s="146"/>
      <c r="K107" s="144" t="str">
        <f t="shared" si="2"/>
        <v/>
      </c>
      <c r="L107" s="146"/>
      <c r="M107" s="147" t="str">
        <f t="shared" si="3"/>
        <v/>
      </c>
    </row>
    <row r="108" spans="1:13" x14ac:dyDescent="0.15">
      <c r="A108" s="137"/>
      <c r="B108" s="136"/>
      <c r="C108" s="137"/>
      <c r="D108" s="144"/>
      <c r="E108" s="144"/>
      <c r="F108" s="145"/>
      <c r="G108" s="145"/>
      <c r="H108" s="145"/>
      <c r="I108" s="145"/>
      <c r="J108" s="146"/>
      <c r="K108" s="144" t="str">
        <f t="shared" si="2"/>
        <v/>
      </c>
      <c r="L108" s="146"/>
      <c r="M108" s="147" t="str">
        <f t="shared" si="3"/>
        <v/>
      </c>
    </row>
    <row r="109" spans="1:13" x14ac:dyDescent="0.15">
      <c r="A109" s="137"/>
      <c r="B109" s="136"/>
      <c r="C109" s="137"/>
      <c r="D109" s="144"/>
      <c r="E109" s="144"/>
      <c r="F109" s="145"/>
      <c r="G109" s="145"/>
      <c r="H109" s="145"/>
      <c r="I109" s="145"/>
      <c r="J109" s="146"/>
      <c r="K109" s="144" t="str">
        <f t="shared" si="2"/>
        <v/>
      </c>
      <c r="L109" s="146"/>
      <c r="M109" s="147" t="str">
        <f t="shared" si="3"/>
        <v/>
      </c>
    </row>
    <row r="110" spans="1:13" x14ac:dyDescent="0.15">
      <c r="A110" s="137"/>
      <c r="B110" s="136"/>
      <c r="C110" s="137"/>
      <c r="D110" s="144"/>
      <c r="E110" s="144"/>
      <c r="F110" s="145"/>
      <c r="G110" s="145"/>
      <c r="H110" s="145"/>
      <c r="I110" s="145"/>
      <c r="J110" s="146"/>
      <c r="K110" s="144" t="str">
        <f t="shared" si="2"/>
        <v/>
      </c>
      <c r="L110" s="146"/>
      <c r="M110" s="147" t="str">
        <f t="shared" si="3"/>
        <v/>
      </c>
    </row>
    <row r="111" spans="1:13" x14ac:dyDescent="0.15">
      <c r="A111" s="137"/>
      <c r="B111" s="136"/>
      <c r="C111" s="137"/>
      <c r="D111" s="144"/>
      <c r="E111" s="144"/>
      <c r="F111" s="145"/>
      <c r="G111" s="145"/>
      <c r="H111" s="145"/>
      <c r="I111" s="145"/>
      <c r="J111" s="146"/>
      <c r="K111" s="144" t="str">
        <f t="shared" si="2"/>
        <v/>
      </c>
      <c r="L111" s="146"/>
      <c r="M111" s="147" t="str">
        <f t="shared" si="3"/>
        <v/>
      </c>
    </row>
    <row r="112" spans="1:13" x14ac:dyDescent="0.15">
      <c r="A112" s="137"/>
      <c r="B112" s="136"/>
      <c r="C112" s="137"/>
      <c r="D112" s="144"/>
      <c r="E112" s="144"/>
      <c r="F112" s="145"/>
      <c r="G112" s="145"/>
      <c r="H112" s="145"/>
      <c r="I112" s="145"/>
      <c r="J112" s="146"/>
      <c r="K112" s="144" t="str">
        <f t="shared" si="2"/>
        <v/>
      </c>
      <c r="L112" s="146"/>
      <c r="M112" s="147" t="str">
        <f t="shared" si="3"/>
        <v/>
      </c>
    </row>
    <row r="113" spans="1:13" x14ac:dyDescent="0.15">
      <c r="A113" s="137"/>
      <c r="B113" s="136"/>
      <c r="C113" s="137"/>
      <c r="D113" s="144"/>
      <c r="E113" s="144"/>
      <c r="F113" s="145"/>
      <c r="G113" s="145"/>
      <c r="H113" s="145"/>
      <c r="I113" s="145"/>
      <c r="J113" s="146"/>
      <c r="K113" s="144" t="str">
        <f t="shared" si="2"/>
        <v/>
      </c>
      <c r="L113" s="146"/>
      <c r="M113" s="147" t="str">
        <f t="shared" si="3"/>
        <v/>
      </c>
    </row>
    <row r="114" spans="1:13" x14ac:dyDescent="0.15">
      <c r="A114" s="137"/>
      <c r="B114" s="136"/>
      <c r="C114" s="137"/>
      <c r="D114" s="144"/>
      <c r="E114" s="144"/>
      <c r="F114" s="145"/>
      <c r="G114" s="145"/>
      <c r="H114" s="145"/>
      <c r="I114" s="145"/>
      <c r="J114" s="146"/>
      <c r="K114" s="144" t="str">
        <f t="shared" si="2"/>
        <v/>
      </c>
      <c r="L114" s="146"/>
      <c r="M114" s="147" t="str">
        <f t="shared" si="3"/>
        <v/>
      </c>
    </row>
    <row r="115" spans="1:13" x14ac:dyDescent="0.15">
      <c r="A115" s="137"/>
      <c r="B115" s="136"/>
      <c r="C115" s="137"/>
      <c r="D115" s="144"/>
      <c r="E115" s="144"/>
      <c r="F115" s="145"/>
      <c r="G115" s="145"/>
      <c r="H115" s="145"/>
      <c r="I115" s="145"/>
      <c r="J115" s="146"/>
      <c r="K115" s="144" t="str">
        <f t="shared" si="2"/>
        <v/>
      </c>
      <c r="L115" s="146"/>
      <c r="M115" s="147" t="str">
        <f t="shared" si="3"/>
        <v/>
      </c>
    </row>
    <row r="116" spans="1:13" x14ac:dyDescent="0.15">
      <c r="A116" s="137"/>
      <c r="B116" s="136"/>
      <c r="C116" s="137"/>
      <c r="D116" s="144"/>
      <c r="E116" s="144"/>
      <c r="F116" s="145"/>
      <c r="G116" s="145"/>
      <c r="H116" s="145"/>
      <c r="I116" s="145"/>
      <c r="J116" s="146"/>
      <c r="K116" s="144" t="str">
        <f t="shared" si="2"/>
        <v/>
      </c>
      <c r="L116" s="146"/>
      <c r="M116" s="147" t="str">
        <f t="shared" si="3"/>
        <v/>
      </c>
    </row>
    <row r="117" spans="1:13" x14ac:dyDescent="0.15">
      <c r="A117" s="137"/>
      <c r="B117" s="136"/>
      <c r="C117" s="137"/>
      <c r="D117" s="144"/>
      <c r="E117" s="144"/>
      <c r="F117" s="145"/>
      <c r="G117" s="145"/>
      <c r="H117" s="145"/>
      <c r="I117" s="145"/>
      <c r="J117" s="146"/>
      <c r="K117" s="144" t="str">
        <f t="shared" si="2"/>
        <v/>
      </c>
      <c r="L117" s="146"/>
      <c r="M117" s="147" t="str">
        <f t="shared" si="3"/>
        <v/>
      </c>
    </row>
    <row r="118" spans="1:13" x14ac:dyDescent="0.15">
      <c r="A118" s="137"/>
      <c r="B118" s="136"/>
      <c r="C118" s="137"/>
      <c r="D118" s="144"/>
      <c r="E118" s="144"/>
      <c r="F118" s="145"/>
      <c r="G118" s="145"/>
      <c r="H118" s="145"/>
      <c r="I118" s="145"/>
      <c r="J118" s="146"/>
      <c r="K118" s="144" t="str">
        <f t="shared" si="2"/>
        <v/>
      </c>
      <c r="L118" s="146"/>
      <c r="M118" s="147" t="str">
        <f t="shared" si="3"/>
        <v/>
      </c>
    </row>
    <row r="119" spans="1:13" x14ac:dyDescent="0.15">
      <c r="A119" s="137"/>
      <c r="B119" s="136"/>
      <c r="C119" s="137"/>
      <c r="D119" s="144"/>
      <c r="E119" s="144"/>
      <c r="F119" s="145"/>
      <c r="G119" s="145"/>
      <c r="H119" s="145"/>
      <c r="I119" s="145"/>
      <c r="J119" s="146"/>
      <c r="K119" s="144" t="str">
        <f t="shared" si="2"/>
        <v/>
      </c>
      <c r="L119" s="146"/>
      <c r="M119" s="147" t="str">
        <f t="shared" si="3"/>
        <v/>
      </c>
    </row>
    <row r="120" spans="1:13" x14ac:dyDescent="0.15">
      <c r="A120" s="137"/>
      <c r="B120" s="136"/>
      <c r="C120" s="137"/>
      <c r="D120" s="144"/>
      <c r="E120" s="144"/>
      <c r="F120" s="145"/>
      <c r="G120" s="145"/>
      <c r="H120" s="145"/>
      <c r="I120" s="145"/>
      <c r="J120" s="146"/>
      <c r="K120" s="144" t="str">
        <f t="shared" si="2"/>
        <v/>
      </c>
      <c r="L120" s="146"/>
      <c r="M120" s="147" t="str">
        <f t="shared" si="3"/>
        <v/>
      </c>
    </row>
    <row r="121" spans="1:13" x14ac:dyDescent="0.15">
      <c r="A121" s="137"/>
      <c r="B121" s="136"/>
      <c r="C121" s="137"/>
      <c r="D121" s="144"/>
      <c r="E121" s="144"/>
      <c r="F121" s="145"/>
      <c r="G121" s="145"/>
      <c r="H121" s="145"/>
      <c r="I121" s="145"/>
      <c r="J121" s="146"/>
      <c r="K121" s="144" t="str">
        <f t="shared" si="2"/>
        <v/>
      </c>
      <c r="L121" s="146"/>
      <c r="M121" s="147" t="str">
        <f t="shared" si="3"/>
        <v/>
      </c>
    </row>
    <row r="122" spans="1:13" x14ac:dyDescent="0.15">
      <c r="A122" s="137"/>
      <c r="B122" s="136"/>
      <c r="C122" s="137"/>
      <c r="D122" s="144"/>
      <c r="E122" s="144"/>
      <c r="F122" s="145"/>
      <c r="G122" s="145"/>
      <c r="H122" s="145"/>
      <c r="I122" s="145"/>
      <c r="J122" s="146"/>
      <c r="K122" s="144" t="str">
        <f t="shared" si="2"/>
        <v/>
      </c>
      <c r="L122" s="146"/>
      <c r="M122" s="147" t="str">
        <f t="shared" si="3"/>
        <v/>
      </c>
    </row>
    <row r="123" spans="1:13" x14ac:dyDescent="0.15">
      <c r="A123" s="137"/>
      <c r="B123" s="136"/>
      <c r="C123" s="137"/>
      <c r="D123" s="144"/>
      <c r="E123" s="144"/>
      <c r="F123" s="145"/>
      <c r="G123" s="145"/>
      <c r="H123" s="145"/>
      <c r="I123" s="145"/>
      <c r="J123" s="146"/>
      <c r="K123" s="144" t="str">
        <f t="shared" si="2"/>
        <v/>
      </c>
      <c r="L123" s="146"/>
      <c r="M123" s="147" t="str">
        <f t="shared" si="3"/>
        <v/>
      </c>
    </row>
    <row r="124" spans="1:13" x14ac:dyDescent="0.15">
      <c r="A124" s="137"/>
      <c r="B124" s="136"/>
      <c r="C124" s="137"/>
      <c r="D124" s="144"/>
      <c r="E124" s="144"/>
      <c r="F124" s="145"/>
      <c r="G124" s="145"/>
      <c r="H124" s="145"/>
      <c r="I124" s="145"/>
      <c r="J124" s="146"/>
      <c r="K124" s="144" t="str">
        <f t="shared" si="2"/>
        <v/>
      </c>
      <c r="L124" s="146"/>
      <c r="M124" s="147" t="str">
        <f t="shared" si="3"/>
        <v/>
      </c>
    </row>
    <row r="125" spans="1:13" x14ac:dyDescent="0.15">
      <c r="A125" s="137"/>
      <c r="B125" s="136"/>
      <c r="C125" s="137"/>
      <c r="D125" s="144"/>
      <c r="E125" s="144"/>
      <c r="F125" s="145"/>
      <c r="G125" s="145"/>
      <c r="H125" s="145"/>
      <c r="I125" s="145"/>
      <c r="J125" s="146"/>
      <c r="K125" s="144" t="str">
        <f t="shared" si="2"/>
        <v/>
      </c>
      <c r="L125" s="146"/>
      <c r="M125" s="147" t="str">
        <f t="shared" si="3"/>
        <v/>
      </c>
    </row>
    <row r="126" spans="1:13" x14ac:dyDescent="0.15">
      <c r="A126" s="137"/>
      <c r="B126" s="136"/>
      <c r="C126" s="137"/>
      <c r="D126" s="144"/>
      <c r="E126" s="144"/>
      <c r="F126" s="145"/>
      <c r="G126" s="145"/>
      <c r="H126" s="145"/>
      <c r="I126" s="145"/>
      <c r="J126" s="146"/>
      <c r="K126" s="144" t="str">
        <f t="shared" si="2"/>
        <v/>
      </c>
      <c r="L126" s="146"/>
      <c r="M126" s="147" t="str">
        <f t="shared" si="3"/>
        <v/>
      </c>
    </row>
    <row r="127" spans="1:13" x14ac:dyDescent="0.15">
      <c r="A127" s="137"/>
      <c r="B127" s="136"/>
      <c r="C127" s="137"/>
      <c r="D127" s="144"/>
      <c r="E127" s="144"/>
      <c r="F127" s="145"/>
      <c r="G127" s="145"/>
      <c r="H127" s="145"/>
      <c r="I127" s="145"/>
      <c r="J127" s="146"/>
      <c r="K127" s="144" t="str">
        <f t="shared" si="2"/>
        <v/>
      </c>
      <c r="L127" s="146"/>
      <c r="M127" s="147" t="str">
        <f t="shared" si="3"/>
        <v/>
      </c>
    </row>
    <row r="128" spans="1:13" x14ac:dyDescent="0.15">
      <c r="A128" s="137"/>
      <c r="B128" s="136"/>
      <c r="C128" s="137"/>
      <c r="D128" s="144"/>
      <c r="E128" s="144"/>
      <c r="F128" s="145"/>
      <c r="G128" s="145"/>
      <c r="H128" s="145"/>
      <c r="I128" s="145"/>
      <c r="J128" s="146"/>
      <c r="K128" s="144" t="str">
        <f t="shared" si="2"/>
        <v/>
      </c>
      <c r="L128" s="146"/>
      <c r="M128" s="147" t="str">
        <f t="shared" si="3"/>
        <v/>
      </c>
    </row>
    <row r="129" spans="1:13" x14ac:dyDescent="0.15">
      <c r="A129" s="137"/>
      <c r="B129" s="136"/>
      <c r="C129" s="137"/>
      <c r="D129" s="144"/>
      <c r="E129" s="144"/>
      <c r="F129" s="145"/>
      <c r="G129" s="145"/>
      <c r="H129" s="145"/>
      <c r="I129" s="145"/>
      <c r="J129" s="146"/>
      <c r="K129" s="144" t="str">
        <f t="shared" si="2"/>
        <v/>
      </c>
      <c r="L129" s="146"/>
      <c r="M129" s="147" t="str">
        <f t="shared" si="3"/>
        <v/>
      </c>
    </row>
    <row r="130" spans="1:13" x14ac:dyDescent="0.15">
      <c r="A130" s="137"/>
      <c r="B130" s="136"/>
      <c r="C130" s="137"/>
      <c r="D130" s="144"/>
      <c r="E130" s="144"/>
      <c r="F130" s="145"/>
      <c r="G130" s="145"/>
      <c r="H130" s="145"/>
      <c r="I130" s="145"/>
      <c r="J130" s="146"/>
      <c r="K130" s="144" t="str">
        <f t="shared" si="2"/>
        <v/>
      </c>
      <c r="L130" s="146"/>
      <c r="M130" s="147" t="str">
        <f t="shared" si="3"/>
        <v/>
      </c>
    </row>
    <row r="131" spans="1:13" x14ac:dyDescent="0.15">
      <c r="A131" s="137"/>
      <c r="B131" s="136"/>
      <c r="C131" s="137"/>
      <c r="D131" s="144"/>
      <c r="E131" s="144"/>
      <c r="F131" s="145"/>
      <c r="G131" s="145"/>
      <c r="H131" s="145"/>
      <c r="I131" s="145"/>
      <c r="J131" s="146"/>
      <c r="K131" s="144" t="str">
        <f t="shared" si="2"/>
        <v/>
      </c>
      <c r="L131" s="146"/>
      <c r="M131" s="147" t="str">
        <f t="shared" si="3"/>
        <v/>
      </c>
    </row>
    <row r="132" spans="1:13" x14ac:dyDescent="0.15">
      <c r="A132" s="137"/>
      <c r="B132" s="136"/>
      <c r="C132" s="137"/>
      <c r="D132" s="144"/>
      <c r="E132" s="144"/>
      <c r="F132" s="145"/>
      <c r="G132" s="145"/>
      <c r="H132" s="145"/>
      <c r="I132" s="145"/>
      <c r="J132" s="146"/>
      <c r="K132" s="144" t="str">
        <f t="shared" si="2"/>
        <v/>
      </c>
      <c r="L132" s="146"/>
      <c r="M132" s="147" t="str">
        <f t="shared" si="3"/>
        <v/>
      </c>
    </row>
    <row r="133" spans="1:13" x14ac:dyDescent="0.15">
      <c r="A133" s="137"/>
      <c r="B133" s="136"/>
      <c r="C133" s="137"/>
      <c r="D133" s="144"/>
      <c r="E133" s="144"/>
      <c r="F133" s="145"/>
      <c r="G133" s="145"/>
      <c r="H133" s="145"/>
      <c r="I133" s="145"/>
      <c r="J133" s="146"/>
      <c r="K133" s="144" t="str">
        <f t="shared" ref="K133:K152" si="4">IF(J133="","",VLOOKUP(J133,$S$2:$T$6,2,FALSE))</f>
        <v/>
      </c>
      <c r="L133" s="146"/>
      <c r="M133" s="147" t="str">
        <f t="shared" ref="M133:M151" si="5">IF(L133="","",VLOOKUP(L133,$U$2:$V$51,2,FALSE))</f>
        <v/>
      </c>
    </row>
    <row r="134" spans="1:13" x14ac:dyDescent="0.15">
      <c r="A134" s="137"/>
      <c r="B134" s="136"/>
      <c r="C134" s="137"/>
      <c r="D134" s="144"/>
      <c r="E134" s="144"/>
      <c r="F134" s="145"/>
      <c r="G134" s="145"/>
      <c r="H134" s="145"/>
      <c r="I134" s="145"/>
      <c r="J134" s="146"/>
      <c r="K134" s="144" t="str">
        <f t="shared" si="4"/>
        <v/>
      </c>
      <c r="L134" s="146"/>
      <c r="M134" s="147" t="str">
        <f t="shared" si="5"/>
        <v/>
      </c>
    </row>
    <row r="135" spans="1:13" x14ac:dyDescent="0.15">
      <c r="A135" s="137"/>
      <c r="B135" s="136"/>
      <c r="C135" s="137"/>
      <c r="D135" s="144"/>
      <c r="E135" s="144"/>
      <c r="F135" s="145"/>
      <c r="G135" s="145"/>
      <c r="H135" s="145"/>
      <c r="I135" s="145"/>
      <c r="J135" s="146"/>
      <c r="K135" s="144" t="str">
        <f t="shared" si="4"/>
        <v/>
      </c>
      <c r="L135" s="146"/>
      <c r="M135" s="147" t="str">
        <f t="shared" si="5"/>
        <v/>
      </c>
    </row>
    <row r="136" spans="1:13" x14ac:dyDescent="0.15">
      <c r="A136" s="137"/>
      <c r="B136" s="136"/>
      <c r="C136" s="137"/>
      <c r="D136" s="144"/>
      <c r="E136" s="144"/>
      <c r="F136" s="145"/>
      <c r="G136" s="145"/>
      <c r="H136" s="145"/>
      <c r="I136" s="145"/>
      <c r="J136" s="146"/>
      <c r="K136" s="144" t="str">
        <f t="shared" si="4"/>
        <v/>
      </c>
      <c r="L136" s="146"/>
      <c r="M136" s="147" t="str">
        <f t="shared" si="5"/>
        <v/>
      </c>
    </row>
    <row r="137" spans="1:13" x14ac:dyDescent="0.15">
      <c r="A137" s="137"/>
      <c r="B137" s="136"/>
      <c r="C137" s="137"/>
      <c r="D137" s="144"/>
      <c r="E137" s="144"/>
      <c r="F137" s="145"/>
      <c r="G137" s="145"/>
      <c r="H137" s="145"/>
      <c r="I137" s="145"/>
      <c r="J137" s="146"/>
      <c r="K137" s="144" t="str">
        <f t="shared" si="4"/>
        <v/>
      </c>
      <c r="L137" s="146"/>
      <c r="M137" s="147" t="str">
        <f t="shared" si="5"/>
        <v/>
      </c>
    </row>
    <row r="138" spans="1:13" x14ac:dyDescent="0.15">
      <c r="A138" s="137"/>
      <c r="B138" s="136"/>
      <c r="C138" s="137"/>
      <c r="D138" s="144"/>
      <c r="E138" s="144"/>
      <c r="F138" s="145"/>
      <c r="G138" s="145"/>
      <c r="H138" s="145"/>
      <c r="I138" s="145"/>
      <c r="J138" s="146"/>
      <c r="K138" s="144" t="str">
        <f t="shared" si="4"/>
        <v/>
      </c>
      <c r="L138" s="146"/>
      <c r="M138" s="147" t="str">
        <f t="shared" si="5"/>
        <v/>
      </c>
    </row>
    <row r="139" spans="1:13" x14ac:dyDescent="0.15">
      <c r="A139" s="137"/>
      <c r="B139" s="136"/>
      <c r="C139" s="137"/>
      <c r="D139" s="144"/>
      <c r="E139" s="144"/>
      <c r="F139" s="145"/>
      <c r="G139" s="145"/>
      <c r="H139" s="145"/>
      <c r="I139" s="145"/>
      <c r="J139" s="146"/>
      <c r="K139" s="144" t="str">
        <f t="shared" si="4"/>
        <v/>
      </c>
      <c r="L139" s="146"/>
      <c r="M139" s="147" t="str">
        <f t="shared" si="5"/>
        <v/>
      </c>
    </row>
    <row r="140" spans="1:13" x14ac:dyDescent="0.15">
      <c r="A140" s="137"/>
      <c r="B140" s="136"/>
      <c r="C140" s="137"/>
      <c r="D140" s="144"/>
      <c r="E140" s="144"/>
      <c r="F140" s="145"/>
      <c r="G140" s="145"/>
      <c r="H140" s="145"/>
      <c r="I140" s="145"/>
      <c r="J140" s="146"/>
      <c r="K140" s="144" t="str">
        <f t="shared" si="4"/>
        <v/>
      </c>
      <c r="L140" s="146"/>
      <c r="M140" s="147" t="str">
        <f t="shared" si="5"/>
        <v/>
      </c>
    </row>
    <row r="141" spans="1:13" x14ac:dyDescent="0.15">
      <c r="A141" s="137"/>
      <c r="B141" s="136"/>
      <c r="C141" s="137"/>
      <c r="D141" s="144"/>
      <c r="E141" s="144"/>
      <c r="F141" s="145"/>
      <c r="G141" s="145"/>
      <c r="H141" s="145"/>
      <c r="I141" s="145"/>
      <c r="J141" s="146"/>
      <c r="K141" s="144" t="str">
        <f t="shared" si="4"/>
        <v/>
      </c>
      <c r="L141" s="146"/>
      <c r="M141" s="147" t="str">
        <f t="shared" si="5"/>
        <v/>
      </c>
    </row>
    <row r="142" spans="1:13" x14ac:dyDescent="0.15">
      <c r="A142" s="137"/>
      <c r="B142" s="136"/>
      <c r="C142" s="137"/>
      <c r="D142" s="144"/>
      <c r="E142" s="144"/>
      <c r="F142" s="145"/>
      <c r="G142" s="145"/>
      <c r="H142" s="145"/>
      <c r="I142" s="145"/>
      <c r="J142" s="146"/>
      <c r="K142" s="144" t="str">
        <f t="shared" si="4"/>
        <v/>
      </c>
      <c r="L142" s="146"/>
      <c r="M142" s="147" t="str">
        <f t="shared" si="5"/>
        <v/>
      </c>
    </row>
    <row r="143" spans="1:13" x14ac:dyDescent="0.15">
      <c r="A143" s="137"/>
      <c r="B143" s="136"/>
      <c r="C143" s="137"/>
      <c r="D143" s="144"/>
      <c r="E143" s="144"/>
      <c r="F143" s="145"/>
      <c r="G143" s="145"/>
      <c r="H143" s="145"/>
      <c r="I143" s="145"/>
      <c r="J143" s="146"/>
      <c r="K143" s="144" t="str">
        <f t="shared" si="4"/>
        <v/>
      </c>
      <c r="L143" s="146"/>
      <c r="M143" s="147" t="str">
        <f t="shared" si="5"/>
        <v/>
      </c>
    </row>
    <row r="144" spans="1:13" x14ac:dyDescent="0.15">
      <c r="A144" s="137"/>
      <c r="B144" s="136"/>
      <c r="C144" s="137"/>
      <c r="D144" s="144"/>
      <c r="E144" s="144"/>
      <c r="F144" s="145"/>
      <c r="G144" s="145"/>
      <c r="H144" s="145"/>
      <c r="I144" s="145"/>
      <c r="J144" s="146"/>
      <c r="K144" s="144" t="str">
        <f t="shared" si="4"/>
        <v/>
      </c>
      <c r="L144" s="146"/>
      <c r="M144" s="147" t="str">
        <f t="shared" si="5"/>
        <v/>
      </c>
    </row>
    <row r="145" spans="1:13" x14ac:dyDescent="0.15">
      <c r="A145" s="137"/>
      <c r="B145" s="136"/>
      <c r="C145" s="137"/>
      <c r="D145" s="144"/>
      <c r="E145" s="144"/>
      <c r="F145" s="145"/>
      <c r="G145" s="145"/>
      <c r="H145" s="145"/>
      <c r="I145" s="145"/>
      <c r="J145" s="146"/>
      <c r="K145" s="144" t="str">
        <f t="shared" si="4"/>
        <v/>
      </c>
      <c r="L145" s="146"/>
      <c r="M145" s="147" t="str">
        <f t="shared" si="5"/>
        <v/>
      </c>
    </row>
    <row r="146" spans="1:13" x14ac:dyDescent="0.15">
      <c r="A146" s="137"/>
      <c r="B146" s="136"/>
      <c r="C146" s="137"/>
      <c r="D146" s="144"/>
      <c r="E146" s="144"/>
      <c r="F146" s="145"/>
      <c r="G146" s="145"/>
      <c r="H146" s="145"/>
      <c r="I146" s="145"/>
      <c r="J146" s="146"/>
      <c r="K146" s="144" t="str">
        <f t="shared" si="4"/>
        <v/>
      </c>
      <c r="L146" s="146"/>
      <c r="M146" s="147" t="str">
        <f t="shared" si="5"/>
        <v/>
      </c>
    </row>
    <row r="147" spans="1:13" x14ac:dyDescent="0.15">
      <c r="A147" s="137"/>
      <c r="B147" s="136"/>
      <c r="C147" s="137"/>
      <c r="D147" s="144"/>
      <c r="E147" s="144"/>
      <c r="F147" s="145"/>
      <c r="G147" s="145"/>
      <c r="H147" s="145"/>
      <c r="I147" s="145"/>
      <c r="J147" s="146"/>
      <c r="K147" s="144" t="str">
        <f t="shared" si="4"/>
        <v/>
      </c>
      <c r="L147" s="146"/>
      <c r="M147" s="147" t="str">
        <f t="shared" si="5"/>
        <v/>
      </c>
    </row>
    <row r="148" spans="1:13" x14ac:dyDescent="0.15">
      <c r="A148" s="137"/>
      <c r="B148" s="136"/>
      <c r="C148" s="137"/>
      <c r="D148" s="144"/>
      <c r="E148" s="144"/>
      <c r="F148" s="145"/>
      <c r="G148" s="145"/>
      <c r="H148" s="145"/>
      <c r="I148" s="145"/>
      <c r="J148" s="146"/>
      <c r="K148" s="144" t="str">
        <f t="shared" si="4"/>
        <v/>
      </c>
      <c r="L148" s="146"/>
      <c r="M148" s="147" t="str">
        <f t="shared" si="5"/>
        <v/>
      </c>
    </row>
    <row r="149" spans="1:13" x14ac:dyDescent="0.15">
      <c r="A149" s="137"/>
      <c r="B149" s="136"/>
      <c r="C149" s="137"/>
      <c r="D149" s="144"/>
      <c r="E149" s="144"/>
      <c r="F149" s="145"/>
      <c r="G149" s="145"/>
      <c r="H149" s="145"/>
      <c r="I149" s="145"/>
      <c r="J149" s="146"/>
      <c r="K149" s="144" t="str">
        <f t="shared" si="4"/>
        <v/>
      </c>
      <c r="L149" s="146"/>
      <c r="M149" s="147" t="str">
        <f t="shared" si="5"/>
        <v/>
      </c>
    </row>
    <row r="150" spans="1:13" x14ac:dyDescent="0.15">
      <c r="A150" s="137"/>
      <c r="B150" s="136"/>
      <c r="C150" s="137"/>
      <c r="D150" s="144"/>
      <c r="E150" s="144"/>
      <c r="F150" s="145"/>
      <c r="G150" s="145"/>
      <c r="H150" s="145"/>
      <c r="I150" s="145"/>
      <c r="J150" s="146"/>
      <c r="K150" s="144" t="str">
        <f t="shared" si="4"/>
        <v/>
      </c>
      <c r="L150" s="146"/>
      <c r="M150" s="147" t="str">
        <f t="shared" si="5"/>
        <v/>
      </c>
    </row>
    <row r="151" spans="1:13" x14ac:dyDescent="0.15">
      <c r="A151" s="137"/>
      <c r="B151" s="136"/>
      <c r="C151" s="137"/>
      <c r="D151" s="144"/>
      <c r="E151" s="144"/>
      <c r="F151" s="145"/>
      <c r="G151" s="145"/>
      <c r="H151" s="145"/>
      <c r="I151" s="145"/>
      <c r="J151" s="146"/>
      <c r="K151" s="144" t="str">
        <f t="shared" si="4"/>
        <v/>
      </c>
      <c r="L151" s="146"/>
      <c r="M151" s="147" t="str">
        <f t="shared" si="5"/>
        <v/>
      </c>
    </row>
    <row r="152" spans="1:13" x14ac:dyDescent="0.15">
      <c r="A152" s="137"/>
      <c r="B152" s="136"/>
      <c r="C152" s="137"/>
      <c r="D152" s="144"/>
      <c r="E152" s="144"/>
      <c r="F152" s="145"/>
      <c r="G152" s="145"/>
      <c r="H152" s="145"/>
      <c r="I152" s="145"/>
      <c r="J152" s="146"/>
      <c r="K152" s="144" t="str">
        <f t="shared" si="4"/>
        <v/>
      </c>
      <c r="L152" s="146"/>
      <c r="M152" s="147" t="str">
        <f>IF(L152="","",VLOOKUP(L152,$U$2:$V$51,2,FALSE))</f>
        <v/>
      </c>
    </row>
  </sheetData>
  <mergeCells count="1">
    <mergeCell ref="A1:B1"/>
  </mergeCells>
  <phoneticPr fontId="3"/>
  <pageMargins left="0.78700000000000003" right="0.78700000000000003" top="0.98399999999999999" bottom="0.98399999999999999" header="0.51200000000000001" footer="0.51200000000000001"/>
  <pageSetup paperSize="9" scale="76" fitToHeight="10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Drop Down 1">
              <controlPr defaultSize="0" autoLine="0" autoPict="0" macro="[0]!Set_KBN">
                <anchor mov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3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Set_KBN">
                <anchor moveWithCells="1" sizeWithCells="1">
                  <from>
                    <xdr:col>5</xdr:col>
                    <xdr:colOff>0</xdr:colOff>
                    <xdr:row>0</xdr:row>
                    <xdr:rowOff>9525</xdr:rowOff>
                  </from>
                  <to>
                    <xdr:col>6</xdr:col>
                    <xdr:colOff>161925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Up_Masta">
                <anchor moveWithCells="1" sizeWithCells="1">
                  <from>
                    <xdr:col>6</xdr:col>
                    <xdr:colOff>514350</xdr:colOff>
                    <xdr:row>0</xdr:row>
                    <xdr:rowOff>9525</xdr:rowOff>
                  </from>
                  <to>
                    <xdr:col>7</xdr:col>
                    <xdr:colOff>685800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Back_Menu">
                <anchor>
                  <from>
                    <xdr:col>12</xdr:col>
                    <xdr:colOff>133350</xdr:colOff>
                    <xdr:row>0</xdr:row>
                    <xdr:rowOff>0</xdr:rowOff>
                  </from>
                  <to>
                    <xdr:col>12</xdr:col>
                    <xdr:colOff>942975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62"/>
  <sheetViews>
    <sheetView workbookViewId="0">
      <selection sqref="A1:B1"/>
    </sheetView>
  </sheetViews>
  <sheetFormatPr defaultRowHeight="13.5" x14ac:dyDescent="0.15"/>
  <cols>
    <col min="1" max="1" width="10.5" bestFit="1" customWidth="1"/>
    <col min="2" max="2" width="7.125" bestFit="1" customWidth="1"/>
    <col min="3" max="3" width="10.125" bestFit="1" customWidth="1"/>
    <col min="4" max="4" width="9.25" bestFit="1" customWidth="1"/>
    <col min="5" max="5" width="10.125" bestFit="1" customWidth="1"/>
    <col min="6" max="6" width="5.25" bestFit="1" customWidth="1"/>
    <col min="7" max="7" width="8.625" customWidth="1"/>
    <col min="8" max="8" width="10.125" customWidth="1"/>
  </cols>
  <sheetData>
    <row r="1" spans="1:10" x14ac:dyDescent="0.15">
      <c r="A1" s="430">
        <f ca="1">NOW()</f>
        <v>44741.430119444442</v>
      </c>
      <c r="B1" s="430"/>
    </row>
    <row r="2" spans="1:10" x14ac:dyDescent="0.15">
      <c r="A2" s="223" t="s">
        <v>174</v>
      </c>
      <c r="B2" s="224" t="s">
        <v>173</v>
      </c>
      <c r="C2" s="224" t="s">
        <v>17</v>
      </c>
      <c r="D2" s="224" t="s">
        <v>53</v>
      </c>
      <c r="E2" s="224" t="s">
        <v>170</v>
      </c>
      <c r="F2" s="224" t="s">
        <v>171</v>
      </c>
      <c r="G2" s="224" t="s">
        <v>214</v>
      </c>
      <c r="H2" s="224" t="s">
        <v>215</v>
      </c>
      <c r="I2" s="225" t="s">
        <v>171</v>
      </c>
      <c r="J2" s="158"/>
    </row>
    <row r="3" spans="1:10" x14ac:dyDescent="0.15">
      <c r="A3" s="265" t="s">
        <v>180</v>
      </c>
      <c r="B3" s="266" t="s">
        <v>181</v>
      </c>
      <c r="C3" s="267">
        <v>23602</v>
      </c>
      <c r="D3" s="268">
        <f t="shared" ref="D3:D6" ca="1" si="0">DATEDIF(C3,$A$1,"Y")</f>
        <v>57</v>
      </c>
      <c r="E3" s="267">
        <v>34262</v>
      </c>
      <c r="F3" s="268" t="s">
        <v>176</v>
      </c>
      <c r="G3" s="270"/>
      <c r="H3" s="267">
        <v>43922</v>
      </c>
      <c r="I3" s="271" t="s">
        <v>334</v>
      </c>
      <c r="J3" s="158" t="str">
        <f t="shared" ref="J3:J55" ca="1" si="1">IF(D3&gt;22,IF(G3&lt;17000,"手当外",""),"")</f>
        <v>手当外</v>
      </c>
    </row>
    <row r="4" spans="1:10" x14ac:dyDescent="0.15">
      <c r="A4" s="216" t="s">
        <v>180</v>
      </c>
      <c r="B4" s="330" t="s">
        <v>183</v>
      </c>
      <c r="C4" s="331">
        <v>34390</v>
      </c>
      <c r="D4" s="332">
        <f t="shared" ca="1" si="0"/>
        <v>28</v>
      </c>
      <c r="E4" s="331">
        <v>34390</v>
      </c>
      <c r="F4" s="332" t="s">
        <v>175</v>
      </c>
      <c r="G4" s="333"/>
      <c r="H4" s="215">
        <f t="shared" ref="H4" si="2">DATE(YEAR(C4)+23,MONTH(C4),DAY(C4))</f>
        <v>42791</v>
      </c>
      <c r="I4" s="220" t="s">
        <v>309</v>
      </c>
      <c r="J4" s="158" t="str">
        <f ca="1">IF(D4&gt;22,IF(G4&lt;17000,"手当外",""),"")</f>
        <v>手当外</v>
      </c>
    </row>
    <row r="5" spans="1:10" x14ac:dyDescent="0.15">
      <c r="A5" s="179" t="s">
        <v>180</v>
      </c>
      <c r="B5" s="180" t="s">
        <v>195</v>
      </c>
      <c r="C5" s="181">
        <v>35515</v>
      </c>
      <c r="D5" s="221">
        <f t="shared" ca="1" si="0"/>
        <v>25</v>
      </c>
      <c r="E5" s="181">
        <v>35515</v>
      </c>
      <c r="F5" s="221" t="s">
        <v>175</v>
      </c>
      <c r="G5" s="183"/>
      <c r="H5" s="181">
        <v>43922</v>
      </c>
      <c r="I5" s="226" t="s">
        <v>334</v>
      </c>
      <c r="J5" s="158" t="str">
        <f t="shared" ca="1" si="1"/>
        <v>手当外</v>
      </c>
    </row>
    <row r="6" spans="1:10" x14ac:dyDescent="0.15">
      <c r="A6" s="172" t="s">
        <v>212</v>
      </c>
      <c r="B6" s="173" t="s">
        <v>211</v>
      </c>
      <c r="C6" s="174">
        <v>27865</v>
      </c>
      <c r="D6" s="175">
        <f t="shared" ca="1" si="0"/>
        <v>46</v>
      </c>
      <c r="E6" s="174">
        <v>40648</v>
      </c>
      <c r="F6" s="175" t="s">
        <v>172</v>
      </c>
      <c r="G6" s="182">
        <v>17000</v>
      </c>
      <c r="H6" s="174"/>
      <c r="I6" s="176"/>
      <c r="J6" s="158" t="str">
        <f t="shared" ca="1" si="1"/>
        <v/>
      </c>
    </row>
    <row r="7" spans="1:10" ht="14.25" thickBot="1" x14ac:dyDescent="0.2">
      <c r="A7" s="159"/>
      <c r="B7" s="159"/>
      <c r="C7" s="160"/>
      <c r="D7" s="162"/>
      <c r="E7" s="160"/>
      <c r="F7" s="162"/>
      <c r="G7" s="227">
        <f>SUM(G3:G6)</f>
        <v>17000</v>
      </c>
      <c r="H7" s="160"/>
      <c r="J7" s="158"/>
    </row>
    <row r="8" spans="1:10" x14ac:dyDescent="0.15">
      <c r="A8" s="162"/>
      <c r="B8" s="162"/>
      <c r="C8" s="162"/>
      <c r="D8" s="162"/>
      <c r="E8" s="162"/>
      <c r="F8" s="162"/>
      <c r="G8" s="163"/>
      <c r="J8" s="158" t="str">
        <f t="shared" si="1"/>
        <v/>
      </c>
    </row>
    <row r="9" spans="1:10" x14ac:dyDescent="0.15">
      <c r="A9" s="223" t="s">
        <v>174</v>
      </c>
      <c r="B9" s="224" t="s">
        <v>173</v>
      </c>
      <c r="C9" s="224" t="s">
        <v>17</v>
      </c>
      <c r="D9" s="224" t="s">
        <v>53</v>
      </c>
      <c r="E9" s="224" t="s">
        <v>170</v>
      </c>
      <c r="F9" s="224" t="s">
        <v>171</v>
      </c>
      <c r="G9" s="224" t="s">
        <v>214</v>
      </c>
      <c r="H9" s="224" t="s">
        <v>215</v>
      </c>
      <c r="I9" s="225" t="s">
        <v>171</v>
      </c>
      <c r="J9" s="158" t="str">
        <f t="shared" si="1"/>
        <v/>
      </c>
    </row>
    <row r="10" spans="1:10" x14ac:dyDescent="0.15">
      <c r="A10" s="165" t="s">
        <v>191</v>
      </c>
      <c r="B10" s="166" t="s">
        <v>169</v>
      </c>
      <c r="C10" s="167">
        <v>25356</v>
      </c>
      <c r="D10" s="168">
        <f t="shared" ref="D10:D15" ca="1" si="3">DATEDIF(C10,$A$1,"Y")</f>
        <v>53</v>
      </c>
      <c r="E10" s="167">
        <v>35277</v>
      </c>
      <c r="F10" s="255" t="s">
        <v>176</v>
      </c>
      <c r="G10" s="177">
        <v>17000</v>
      </c>
      <c r="H10" s="167"/>
      <c r="I10" s="169"/>
      <c r="J10" s="158" t="str">
        <f t="shared" ca="1" si="1"/>
        <v/>
      </c>
    </row>
    <row r="11" spans="1:10" x14ac:dyDescent="0.15">
      <c r="A11" s="216" t="s">
        <v>191</v>
      </c>
      <c r="B11" s="217" t="s">
        <v>192</v>
      </c>
      <c r="C11" s="215">
        <v>35380</v>
      </c>
      <c r="D11" s="218">
        <f t="shared" ca="1" si="3"/>
        <v>25</v>
      </c>
      <c r="E11" s="215">
        <v>35380</v>
      </c>
      <c r="F11" s="258" t="s">
        <v>175</v>
      </c>
      <c r="G11" s="219"/>
      <c r="H11" s="215">
        <f t="shared" ref="H11:H12" si="4">DATE(YEAR(C11)+23,MONTH(C11),DAY(C11))</f>
        <v>43780</v>
      </c>
      <c r="I11" s="220" t="s">
        <v>309</v>
      </c>
      <c r="J11" s="158" t="str">
        <f t="shared" ca="1" si="1"/>
        <v>手当外</v>
      </c>
    </row>
    <row r="12" spans="1:10" x14ac:dyDescent="0.15">
      <c r="A12" s="172" t="s">
        <v>191</v>
      </c>
      <c r="B12" s="173" t="s">
        <v>198</v>
      </c>
      <c r="C12" s="174">
        <v>36692</v>
      </c>
      <c r="D12" s="175">
        <f t="shared" ca="1" si="3"/>
        <v>22</v>
      </c>
      <c r="E12" s="174">
        <v>36692</v>
      </c>
      <c r="F12" s="256" t="s">
        <v>175</v>
      </c>
      <c r="G12" s="182">
        <v>4000</v>
      </c>
      <c r="H12" s="174">
        <f t="shared" si="4"/>
        <v>45092</v>
      </c>
      <c r="I12" s="176"/>
      <c r="J12" s="158" t="str">
        <f t="shared" ca="1" si="1"/>
        <v/>
      </c>
    </row>
    <row r="13" spans="1:10" x14ac:dyDescent="0.15">
      <c r="A13" s="265" t="s">
        <v>184</v>
      </c>
      <c r="B13" s="266" t="s">
        <v>185</v>
      </c>
      <c r="C13" s="267">
        <v>25171</v>
      </c>
      <c r="D13" s="268">
        <f t="shared" ca="1" si="3"/>
        <v>53</v>
      </c>
      <c r="E13" s="267">
        <v>34300</v>
      </c>
      <c r="F13" s="269" t="s">
        <v>172</v>
      </c>
      <c r="G13" s="270"/>
      <c r="H13" s="267">
        <v>43922</v>
      </c>
      <c r="I13" s="271" t="s">
        <v>334</v>
      </c>
      <c r="J13" s="158" t="str">
        <f t="shared" ca="1" si="1"/>
        <v>手当外</v>
      </c>
    </row>
    <row r="14" spans="1:10" x14ac:dyDescent="0.15">
      <c r="A14" s="216" t="s">
        <v>184</v>
      </c>
      <c r="B14" s="217" t="s">
        <v>189</v>
      </c>
      <c r="C14" s="215">
        <v>35024</v>
      </c>
      <c r="D14" s="218">
        <f t="shared" ca="1" si="3"/>
        <v>26</v>
      </c>
      <c r="E14" s="215">
        <v>35024</v>
      </c>
      <c r="F14" s="258" t="s">
        <v>175</v>
      </c>
      <c r="G14" s="219"/>
      <c r="H14" s="215">
        <f t="shared" ref="H14" si="5">DATE(YEAR(C14)+23,MONTH(C14),DAY(C14))</f>
        <v>43425</v>
      </c>
      <c r="I14" s="220" t="s">
        <v>309</v>
      </c>
      <c r="J14" s="158" t="str">
        <f t="shared" ca="1" si="1"/>
        <v>手当外</v>
      </c>
    </row>
    <row r="15" spans="1:10" x14ac:dyDescent="0.15">
      <c r="A15" s="179" t="s">
        <v>184</v>
      </c>
      <c r="B15" s="180" t="s">
        <v>196</v>
      </c>
      <c r="C15" s="181">
        <v>36215</v>
      </c>
      <c r="D15" s="221">
        <f t="shared" ca="1" si="3"/>
        <v>23</v>
      </c>
      <c r="E15" s="181">
        <v>36215</v>
      </c>
      <c r="F15" s="257" t="s">
        <v>175</v>
      </c>
      <c r="G15" s="183"/>
      <c r="H15" s="181">
        <v>43922</v>
      </c>
      <c r="I15" s="226" t="s">
        <v>334</v>
      </c>
      <c r="J15" s="158" t="str">
        <f t="shared" ca="1" si="1"/>
        <v>手当外</v>
      </c>
    </row>
    <row r="16" spans="1:10" x14ac:dyDescent="0.15">
      <c r="A16" s="165" t="s">
        <v>187</v>
      </c>
      <c r="B16" s="166" t="s">
        <v>188</v>
      </c>
      <c r="C16" s="167">
        <v>24975</v>
      </c>
      <c r="D16" s="168">
        <f t="shared" ref="D16:D21" ca="1" si="6">DATEDIF(C16,$A$1,"Y")</f>
        <v>54</v>
      </c>
      <c r="E16" s="167">
        <v>34748</v>
      </c>
      <c r="F16" s="255" t="s">
        <v>172</v>
      </c>
      <c r="G16" s="177">
        <v>17000</v>
      </c>
      <c r="H16" s="167"/>
      <c r="I16" s="169"/>
      <c r="J16" s="158" t="str">
        <f t="shared" ca="1" si="1"/>
        <v/>
      </c>
    </row>
    <row r="17" spans="1:10" x14ac:dyDescent="0.15">
      <c r="A17" s="216" t="s">
        <v>187</v>
      </c>
      <c r="B17" s="217" t="s">
        <v>190</v>
      </c>
      <c r="C17" s="215">
        <v>35200</v>
      </c>
      <c r="D17" s="218">
        <f t="shared" ca="1" si="6"/>
        <v>26</v>
      </c>
      <c r="E17" s="215">
        <v>35200</v>
      </c>
      <c r="F17" s="258" t="s">
        <v>175</v>
      </c>
      <c r="G17" s="219"/>
      <c r="H17" s="215">
        <f t="shared" ref="H17:H18" si="7">DATE(YEAR(C17)+23,MONTH(C17),DAY(C17))</f>
        <v>43600</v>
      </c>
      <c r="I17" s="220" t="s">
        <v>309</v>
      </c>
      <c r="J17" s="158" t="str">
        <f t="shared" ca="1" si="1"/>
        <v>手当外</v>
      </c>
    </row>
    <row r="18" spans="1:10" x14ac:dyDescent="0.15">
      <c r="A18" s="172" t="s">
        <v>187</v>
      </c>
      <c r="B18" s="173" t="s">
        <v>197</v>
      </c>
      <c r="C18" s="174">
        <v>36593</v>
      </c>
      <c r="D18" s="175">
        <f t="shared" ca="1" si="6"/>
        <v>22</v>
      </c>
      <c r="E18" s="174">
        <v>36593</v>
      </c>
      <c r="F18" s="256" t="s">
        <v>175</v>
      </c>
      <c r="G18" s="182">
        <v>4000</v>
      </c>
      <c r="H18" s="174">
        <f t="shared" si="7"/>
        <v>44993</v>
      </c>
      <c r="I18" s="176"/>
      <c r="J18" s="158" t="str">
        <f t="shared" ca="1" si="1"/>
        <v/>
      </c>
    </row>
    <row r="19" spans="1:10" x14ac:dyDescent="0.15">
      <c r="A19" s="165" t="s">
        <v>216</v>
      </c>
      <c r="B19" s="166" t="s">
        <v>211</v>
      </c>
      <c r="C19" s="167">
        <v>23226</v>
      </c>
      <c r="D19" s="168">
        <f t="shared" ca="1" si="6"/>
        <v>58</v>
      </c>
      <c r="E19" s="167">
        <v>37348</v>
      </c>
      <c r="F19" s="255" t="s">
        <v>177</v>
      </c>
      <c r="G19" s="177">
        <v>17000</v>
      </c>
      <c r="H19" s="167"/>
      <c r="I19" s="169"/>
      <c r="J19" s="158" t="str">
        <f t="shared" ca="1" si="1"/>
        <v/>
      </c>
    </row>
    <row r="20" spans="1:10" x14ac:dyDescent="0.15">
      <c r="A20" s="216" t="s">
        <v>216</v>
      </c>
      <c r="B20" s="217" t="s">
        <v>217</v>
      </c>
      <c r="C20" s="215">
        <v>32503</v>
      </c>
      <c r="D20" s="218">
        <f t="shared" ca="1" si="6"/>
        <v>33</v>
      </c>
      <c r="E20" s="215">
        <v>37348</v>
      </c>
      <c r="F20" s="258" t="s">
        <v>177</v>
      </c>
      <c r="G20" s="219"/>
      <c r="H20" s="215">
        <f t="shared" ref="H20:H21" si="8">DATE(YEAR(C20)+23,MONTH(C20),DAY(C20))</f>
        <v>40903</v>
      </c>
      <c r="I20" s="220" t="s">
        <v>309</v>
      </c>
      <c r="J20" s="158" t="str">
        <f ca="1">IF(D20&gt;22,IF(G20&lt;17000,"手当外",""),"")</f>
        <v>手当外</v>
      </c>
    </row>
    <row r="21" spans="1:10" x14ac:dyDescent="0.15">
      <c r="A21" s="179" t="s">
        <v>216</v>
      </c>
      <c r="B21" s="180" t="s">
        <v>218</v>
      </c>
      <c r="C21" s="181">
        <v>33628</v>
      </c>
      <c r="D21" s="221">
        <f t="shared" ca="1" si="6"/>
        <v>30</v>
      </c>
      <c r="E21" s="181">
        <v>37348</v>
      </c>
      <c r="F21" s="257" t="s">
        <v>177</v>
      </c>
      <c r="G21" s="183"/>
      <c r="H21" s="181">
        <f t="shared" si="8"/>
        <v>42029</v>
      </c>
      <c r="I21" s="226" t="s">
        <v>309</v>
      </c>
      <c r="J21" s="158" t="str">
        <f t="shared" ca="1" si="1"/>
        <v>手当外</v>
      </c>
    </row>
    <row r="22" spans="1:10" x14ac:dyDescent="0.15">
      <c r="A22" s="165" t="s">
        <v>178</v>
      </c>
      <c r="B22" s="166" t="s">
        <v>179</v>
      </c>
      <c r="C22" s="167">
        <v>24824</v>
      </c>
      <c r="D22" s="168">
        <f t="shared" ref="D22:D26" ca="1" si="9">DATEDIF(C22,$A$1,"Y")</f>
        <v>54</v>
      </c>
      <c r="E22" s="167">
        <v>33902</v>
      </c>
      <c r="F22" s="255" t="s">
        <v>172</v>
      </c>
      <c r="G22" s="177">
        <v>17000</v>
      </c>
      <c r="H22" s="167"/>
      <c r="I22" s="169"/>
      <c r="J22" s="158" t="str">
        <f t="shared" ca="1" si="1"/>
        <v/>
      </c>
    </row>
    <row r="23" spans="1:10" x14ac:dyDescent="0.15">
      <c r="A23" s="216" t="s">
        <v>178</v>
      </c>
      <c r="B23" s="217" t="s">
        <v>182</v>
      </c>
      <c r="C23" s="215">
        <v>34298</v>
      </c>
      <c r="D23" s="218">
        <f t="shared" ca="1" si="9"/>
        <v>28</v>
      </c>
      <c r="E23" s="215">
        <v>34298</v>
      </c>
      <c r="F23" s="258" t="s">
        <v>175</v>
      </c>
      <c r="G23" s="219"/>
      <c r="H23" s="215">
        <f t="shared" ref="H23:H24" si="10">DATE(YEAR(C23)+23,MONTH(C23),DAY(C23))</f>
        <v>42699</v>
      </c>
      <c r="I23" s="220" t="s">
        <v>309</v>
      </c>
      <c r="J23" s="158" t="str">
        <f t="shared" ca="1" si="1"/>
        <v>手当外</v>
      </c>
    </row>
    <row r="24" spans="1:10" x14ac:dyDescent="0.15">
      <c r="A24" s="179" t="s">
        <v>178</v>
      </c>
      <c r="B24" s="180" t="s">
        <v>186</v>
      </c>
      <c r="C24" s="181">
        <v>34912</v>
      </c>
      <c r="D24" s="221">
        <f t="shared" ca="1" si="9"/>
        <v>26</v>
      </c>
      <c r="E24" s="181">
        <v>34912</v>
      </c>
      <c r="F24" s="257" t="s">
        <v>175</v>
      </c>
      <c r="G24" s="182"/>
      <c r="H24" s="181">
        <f t="shared" si="10"/>
        <v>43313</v>
      </c>
      <c r="I24" s="226" t="s">
        <v>309</v>
      </c>
      <c r="J24" s="158" t="str">
        <f t="shared" ca="1" si="1"/>
        <v>手当外</v>
      </c>
    </row>
    <row r="25" spans="1:10" x14ac:dyDescent="0.15">
      <c r="A25" s="216" t="s">
        <v>238</v>
      </c>
      <c r="B25" s="217" t="s">
        <v>237</v>
      </c>
      <c r="C25" s="215">
        <v>31527</v>
      </c>
      <c r="D25" s="218">
        <f t="shared" ca="1" si="9"/>
        <v>36</v>
      </c>
      <c r="E25" s="215">
        <v>41947</v>
      </c>
      <c r="F25" s="258" t="s">
        <v>172</v>
      </c>
      <c r="G25" s="219"/>
      <c r="H25" s="215"/>
      <c r="I25" s="220" t="s">
        <v>239</v>
      </c>
      <c r="J25" s="158" t="str">
        <f t="shared" ca="1" si="1"/>
        <v>手当外</v>
      </c>
    </row>
    <row r="26" spans="1:10" x14ac:dyDescent="0.15">
      <c r="A26" s="170" t="s">
        <v>238</v>
      </c>
      <c r="B26" s="159" t="s">
        <v>317</v>
      </c>
      <c r="C26" s="160">
        <v>43126</v>
      </c>
      <c r="D26" s="162">
        <f t="shared" ca="1" si="9"/>
        <v>4</v>
      </c>
      <c r="E26" s="160">
        <v>43126</v>
      </c>
      <c r="F26" s="254" t="s">
        <v>175</v>
      </c>
      <c r="G26" s="178">
        <v>9000</v>
      </c>
      <c r="H26" s="160">
        <f t="shared" ref="H26" si="11">DATE(YEAR(C26)+23,MONTH(C26),DAY(C26))</f>
        <v>51527</v>
      </c>
      <c r="I26" s="171"/>
      <c r="J26" s="158" t="str">
        <f t="shared" ca="1" si="1"/>
        <v/>
      </c>
    </row>
    <row r="27" spans="1:10" x14ac:dyDescent="0.15">
      <c r="A27" s="184" t="s">
        <v>193</v>
      </c>
      <c r="B27" s="185" t="s">
        <v>194</v>
      </c>
      <c r="C27" s="186">
        <v>25399</v>
      </c>
      <c r="D27" s="187">
        <f t="shared" ref="D27:D33" ca="1" si="12">DATEDIF(C27,$A$1,"Y")</f>
        <v>52</v>
      </c>
      <c r="E27" s="186">
        <v>35026</v>
      </c>
      <c r="F27" s="253" t="s">
        <v>172</v>
      </c>
      <c r="G27" s="188">
        <v>17000</v>
      </c>
      <c r="H27" s="186"/>
      <c r="I27" s="164"/>
      <c r="J27" s="158" t="str">
        <f t="shared" ca="1" si="1"/>
        <v/>
      </c>
    </row>
    <row r="28" spans="1:10" x14ac:dyDescent="0.15">
      <c r="A28" s="170" t="s">
        <v>208</v>
      </c>
      <c r="B28" s="159" t="s">
        <v>209</v>
      </c>
      <c r="C28" s="160">
        <v>30823</v>
      </c>
      <c r="D28" s="162">
        <f t="shared" ca="1" si="12"/>
        <v>38</v>
      </c>
      <c r="E28" s="160">
        <v>40575</v>
      </c>
      <c r="F28" s="254" t="s">
        <v>177</v>
      </c>
      <c r="G28" s="178">
        <v>17000</v>
      </c>
      <c r="H28" s="160"/>
      <c r="I28" s="171"/>
      <c r="J28" s="158" t="str">
        <f t="shared" ca="1" si="1"/>
        <v/>
      </c>
    </row>
    <row r="29" spans="1:10" x14ac:dyDescent="0.15">
      <c r="A29" s="170" t="s">
        <v>208</v>
      </c>
      <c r="B29" s="159" t="s">
        <v>210</v>
      </c>
      <c r="C29" s="160">
        <v>40210</v>
      </c>
      <c r="D29" s="162">
        <f t="shared" ca="1" si="12"/>
        <v>12</v>
      </c>
      <c r="E29" s="160">
        <v>40210</v>
      </c>
      <c r="F29" s="254" t="s">
        <v>177</v>
      </c>
      <c r="G29" s="178">
        <v>9000</v>
      </c>
      <c r="H29" s="160">
        <f t="shared" ref="H29:H31" si="13">DATE(YEAR(C29)+23,MONTH(C29),DAY(C29))</f>
        <v>48611</v>
      </c>
      <c r="I29" s="171"/>
      <c r="J29" s="158" t="str">
        <f t="shared" ca="1" si="1"/>
        <v/>
      </c>
    </row>
    <row r="30" spans="1:10" x14ac:dyDescent="0.15">
      <c r="A30" s="170" t="s">
        <v>208</v>
      </c>
      <c r="B30" s="159" t="s">
        <v>213</v>
      </c>
      <c r="C30" s="160">
        <v>40982</v>
      </c>
      <c r="D30" s="162">
        <f t="shared" ca="1" si="12"/>
        <v>10</v>
      </c>
      <c r="E30" s="160">
        <v>40982</v>
      </c>
      <c r="F30" s="254" t="s">
        <v>175</v>
      </c>
      <c r="G30" s="178">
        <v>4000</v>
      </c>
      <c r="H30" s="160">
        <f t="shared" si="13"/>
        <v>49382</v>
      </c>
      <c r="I30" s="171"/>
      <c r="J30" s="158" t="str">
        <f t="shared" ca="1" si="1"/>
        <v/>
      </c>
    </row>
    <row r="31" spans="1:10" x14ac:dyDescent="0.15">
      <c r="A31" s="170" t="s">
        <v>208</v>
      </c>
      <c r="B31" s="159" t="s">
        <v>295</v>
      </c>
      <c r="C31" s="160">
        <v>42277</v>
      </c>
      <c r="D31" s="162">
        <f t="shared" ca="1" si="12"/>
        <v>6</v>
      </c>
      <c r="E31" s="160">
        <v>42277</v>
      </c>
      <c r="F31" s="254" t="s">
        <v>175</v>
      </c>
      <c r="G31" s="178">
        <v>4000</v>
      </c>
      <c r="H31" s="160">
        <f t="shared" si="13"/>
        <v>50678</v>
      </c>
      <c r="I31" s="171"/>
      <c r="J31" s="158" t="str">
        <f t="shared" ca="1" si="1"/>
        <v/>
      </c>
    </row>
    <row r="32" spans="1:10" x14ac:dyDescent="0.15">
      <c r="A32" s="259" t="s">
        <v>241</v>
      </c>
      <c r="B32" s="260" t="s">
        <v>242</v>
      </c>
      <c r="C32" s="261">
        <v>32392</v>
      </c>
      <c r="D32" s="262">
        <f t="shared" ref="D32" ca="1" si="14">DATEDIF(C32,$A$1,"Y")</f>
        <v>33</v>
      </c>
      <c r="E32" s="261">
        <v>42110</v>
      </c>
      <c r="F32" s="263" t="s">
        <v>172</v>
      </c>
      <c r="G32" s="264"/>
      <c r="H32" s="261"/>
      <c r="I32" s="189" t="s">
        <v>236</v>
      </c>
      <c r="J32" s="158" t="str">
        <f t="shared" ca="1" si="1"/>
        <v>手当外</v>
      </c>
    </row>
    <row r="33" spans="1:10" x14ac:dyDescent="0.15">
      <c r="A33" s="165" t="s">
        <v>296</v>
      </c>
      <c r="B33" s="166" t="s">
        <v>323</v>
      </c>
      <c r="C33" s="167">
        <v>31917</v>
      </c>
      <c r="D33" s="168">
        <f t="shared" ca="1" si="12"/>
        <v>35</v>
      </c>
      <c r="E33" s="167">
        <v>42566</v>
      </c>
      <c r="F33" s="255" t="s">
        <v>172</v>
      </c>
      <c r="G33" s="177">
        <v>17000</v>
      </c>
      <c r="H33" s="167"/>
      <c r="I33" s="169"/>
      <c r="J33" s="158" t="str">
        <f t="shared" ca="1" si="1"/>
        <v/>
      </c>
    </row>
    <row r="34" spans="1:10" x14ac:dyDescent="0.15">
      <c r="A34" s="172" t="s">
        <v>296</v>
      </c>
      <c r="B34" s="173" t="s">
        <v>324</v>
      </c>
      <c r="C34" s="174">
        <v>43440</v>
      </c>
      <c r="D34" s="175">
        <f t="shared" ref="D34" ca="1" si="15">DATEDIF(C34,$A$1,"Y")</f>
        <v>3</v>
      </c>
      <c r="E34" s="174">
        <v>43440</v>
      </c>
      <c r="F34" s="256" t="s">
        <v>175</v>
      </c>
      <c r="G34" s="182">
        <v>9000</v>
      </c>
      <c r="H34" s="174">
        <f t="shared" ref="H34" si="16">DATE(YEAR(C34)+23,MONTH(C34),DAY(C34))</f>
        <v>51841</v>
      </c>
      <c r="I34" s="176"/>
      <c r="J34" s="158"/>
    </row>
    <row r="35" spans="1:10" x14ac:dyDescent="0.15">
      <c r="A35" s="172" t="s">
        <v>327</v>
      </c>
      <c r="B35" s="173" t="s">
        <v>330</v>
      </c>
      <c r="C35" s="174"/>
      <c r="D35" s="175"/>
      <c r="E35" s="174"/>
      <c r="F35" s="256" t="s">
        <v>172</v>
      </c>
      <c r="G35" s="182"/>
      <c r="H35" s="174"/>
      <c r="I35" s="226" t="s">
        <v>236</v>
      </c>
      <c r="J35" s="158" t="str">
        <f t="shared" si="1"/>
        <v/>
      </c>
    </row>
    <row r="36" spans="1:10" ht="14.25" thickBot="1" x14ac:dyDescent="0.2">
      <c r="A36" s="159"/>
      <c r="B36" s="159"/>
      <c r="C36" s="160"/>
      <c r="D36" s="162"/>
      <c r="E36" s="160"/>
      <c r="F36" s="162"/>
      <c r="G36" s="227">
        <f>SUM(G10:G35)</f>
        <v>162000</v>
      </c>
      <c r="H36" s="160"/>
      <c r="J36" s="158"/>
    </row>
    <row r="37" spans="1:10" x14ac:dyDescent="0.15">
      <c r="A37" s="159"/>
      <c r="B37" s="159"/>
      <c r="C37" s="160"/>
      <c r="D37" s="161"/>
      <c r="E37" s="160"/>
      <c r="F37" s="162"/>
      <c r="G37" s="163"/>
      <c r="J37" s="158" t="str">
        <f t="shared" si="1"/>
        <v/>
      </c>
    </row>
    <row r="38" spans="1:10" x14ac:dyDescent="0.15">
      <c r="A38" s="223" t="s">
        <v>174</v>
      </c>
      <c r="B38" s="224" t="s">
        <v>173</v>
      </c>
      <c r="C38" s="224" t="s">
        <v>17</v>
      </c>
      <c r="D38" s="224" t="s">
        <v>53</v>
      </c>
      <c r="E38" s="224" t="s">
        <v>170</v>
      </c>
      <c r="F38" s="224" t="s">
        <v>171</v>
      </c>
      <c r="G38" s="224" t="s">
        <v>214</v>
      </c>
      <c r="H38" s="224" t="s">
        <v>215</v>
      </c>
      <c r="I38" s="225" t="s">
        <v>171</v>
      </c>
      <c r="J38" s="158" t="str">
        <f t="shared" si="1"/>
        <v/>
      </c>
    </row>
    <row r="39" spans="1:10" x14ac:dyDescent="0.15">
      <c r="A39" s="259" t="s">
        <v>168</v>
      </c>
      <c r="B39" s="260" t="s">
        <v>169</v>
      </c>
      <c r="C39" s="261">
        <v>24302</v>
      </c>
      <c r="D39" s="262">
        <f t="shared" ref="D39:D49" ca="1" si="17">DATEDIF(C39,$A$1,"Y")</f>
        <v>55</v>
      </c>
      <c r="E39" s="261">
        <v>33351</v>
      </c>
      <c r="F39" s="263" t="s">
        <v>172</v>
      </c>
      <c r="G39" s="264">
        <v>0</v>
      </c>
      <c r="H39" s="261"/>
      <c r="I39" s="189" t="s">
        <v>391</v>
      </c>
      <c r="J39" s="158" t="str">
        <f t="shared" ca="1" si="1"/>
        <v>手当外</v>
      </c>
    </row>
    <row r="40" spans="1:10" x14ac:dyDescent="0.15">
      <c r="A40" s="259" t="s">
        <v>204</v>
      </c>
      <c r="B40" s="260" t="s">
        <v>205</v>
      </c>
      <c r="C40" s="261">
        <v>24818</v>
      </c>
      <c r="D40" s="262">
        <f t="shared" ref="D40:D48" ca="1" si="18">DATEDIF(C40,$A$1,"Y")</f>
        <v>54</v>
      </c>
      <c r="E40" s="261">
        <v>39114</v>
      </c>
      <c r="F40" s="263" t="s">
        <v>176</v>
      </c>
      <c r="G40" s="264"/>
      <c r="H40" s="261"/>
      <c r="I40" s="189" t="s">
        <v>236</v>
      </c>
      <c r="J40" s="158" t="str">
        <f t="shared" ca="1" si="1"/>
        <v>手当外</v>
      </c>
    </row>
    <row r="41" spans="1:10" x14ac:dyDescent="0.15">
      <c r="A41" s="170" t="s">
        <v>199</v>
      </c>
      <c r="B41" s="326" t="s">
        <v>200</v>
      </c>
      <c r="C41" s="318">
        <v>27395</v>
      </c>
      <c r="D41" s="327">
        <f t="shared" ca="1" si="18"/>
        <v>47</v>
      </c>
      <c r="E41" s="318">
        <v>38749</v>
      </c>
      <c r="F41" s="328" t="s">
        <v>176</v>
      </c>
      <c r="G41" s="329">
        <v>17000</v>
      </c>
      <c r="H41" s="318"/>
      <c r="I41" s="171"/>
      <c r="J41" s="158" t="str">
        <f t="shared" ca="1" si="1"/>
        <v/>
      </c>
    </row>
    <row r="42" spans="1:10" x14ac:dyDescent="0.15">
      <c r="A42" s="170" t="s">
        <v>199</v>
      </c>
      <c r="B42" s="326" t="s">
        <v>201</v>
      </c>
      <c r="C42" s="318">
        <v>38857</v>
      </c>
      <c r="D42" s="327">
        <f t="shared" ca="1" si="18"/>
        <v>16</v>
      </c>
      <c r="E42" s="318">
        <v>38857</v>
      </c>
      <c r="F42" s="328" t="s">
        <v>175</v>
      </c>
      <c r="G42" s="329">
        <v>9000</v>
      </c>
      <c r="H42" s="318">
        <f t="shared" ref="H42:H43" si="19">DATE(YEAR(C42)+23,MONTH(C42),DAY(C42))</f>
        <v>47258</v>
      </c>
      <c r="I42" s="171"/>
      <c r="J42" s="158" t="str">
        <f t="shared" ca="1" si="1"/>
        <v/>
      </c>
    </row>
    <row r="43" spans="1:10" x14ac:dyDescent="0.15">
      <c r="A43" s="170" t="s">
        <v>199</v>
      </c>
      <c r="B43" s="326" t="s">
        <v>207</v>
      </c>
      <c r="C43" s="318">
        <v>40021</v>
      </c>
      <c r="D43" s="327">
        <f t="shared" ca="1" si="18"/>
        <v>12</v>
      </c>
      <c r="E43" s="318">
        <v>40021</v>
      </c>
      <c r="F43" s="328" t="s">
        <v>175</v>
      </c>
      <c r="G43" s="329">
        <v>4000</v>
      </c>
      <c r="H43" s="318">
        <f t="shared" si="19"/>
        <v>48422</v>
      </c>
      <c r="I43" s="171"/>
      <c r="J43" s="158" t="str">
        <f t="shared" ca="1" si="1"/>
        <v/>
      </c>
    </row>
    <row r="44" spans="1:10" x14ac:dyDescent="0.15">
      <c r="A44" s="265" t="s">
        <v>203</v>
      </c>
      <c r="B44" s="266" t="s">
        <v>202</v>
      </c>
      <c r="C44" s="267">
        <v>29227</v>
      </c>
      <c r="D44" s="268">
        <f t="shared" ca="1" si="18"/>
        <v>42</v>
      </c>
      <c r="E44" s="267">
        <v>39083</v>
      </c>
      <c r="F44" s="269" t="s">
        <v>172</v>
      </c>
      <c r="G44" s="270"/>
      <c r="H44" s="267"/>
      <c r="I44" s="271" t="s">
        <v>236</v>
      </c>
      <c r="J44" s="158" t="str">
        <f t="shared" ca="1" si="1"/>
        <v>手当外</v>
      </c>
    </row>
    <row r="45" spans="1:10" x14ac:dyDescent="0.15">
      <c r="A45" s="170" t="s">
        <v>203</v>
      </c>
      <c r="B45" s="326" t="s">
        <v>206</v>
      </c>
      <c r="C45" s="318">
        <v>39586</v>
      </c>
      <c r="D45" s="327">
        <f t="shared" ca="1" si="18"/>
        <v>14</v>
      </c>
      <c r="E45" s="318">
        <v>39586</v>
      </c>
      <c r="F45" s="328" t="s">
        <v>175</v>
      </c>
      <c r="G45" s="329">
        <v>9000</v>
      </c>
      <c r="H45" s="318">
        <f t="shared" ref="H45:H48" si="20">DATE(YEAR(C45)+23,MONTH(C45),DAY(C45))</f>
        <v>47986</v>
      </c>
      <c r="I45" s="171"/>
      <c r="J45" s="158" t="str">
        <f t="shared" ca="1" si="1"/>
        <v/>
      </c>
    </row>
    <row r="46" spans="1:10" x14ac:dyDescent="0.15">
      <c r="A46" s="172" t="s">
        <v>203</v>
      </c>
      <c r="B46" s="173" t="s">
        <v>235</v>
      </c>
      <c r="C46" s="174">
        <v>41449</v>
      </c>
      <c r="D46" s="175">
        <f t="shared" ca="1" si="18"/>
        <v>9</v>
      </c>
      <c r="E46" s="174">
        <v>41449</v>
      </c>
      <c r="F46" s="256" t="s">
        <v>175</v>
      </c>
      <c r="G46" s="182">
        <v>4000</v>
      </c>
      <c r="H46" s="174">
        <f>DATE(YEAR(C46)+23,MONTH(C46),DAY(C46))</f>
        <v>49850</v>
      </c>
      <c r="I46" s="176"/>
      <c r="J46" s="158" t="str">
        <f t="shared" ca="1" si="1"/>
        <v/>
      </c>
    </row>
    <row r="47" spans="1:10" x14ac:dyDescent="0.15">
      <c r="A47" s="170" t="s">
        <v>223</v>
      </c>
      <c r="B47" s="326" t="s">
        <v>224</v>
      </c>
      <c r="C47" s="318">
        <v>31682</v>
      </c>
      <c r="D47" s="327">
        <f ca="1">DATEDIF(C47,$A$1,"Y")</f>
        <v>35</v>
      </c>
      <c r="E47" s="318">
        <v>41411</v>
      </c>
      <c r="F47" s="328" t="s">
        <v>172</v>
      </c>
      <c r="G47" s="329">
        <v>17000</v>
      </c>
      <c r="H47" s="318"/>
      <c r="I47" s="171"/>
      <c r="J47" s="158" t="str">
        <f t="shared" ca="1" si="1"/>
        <v/>
      </c>
    </row>
    <row r="48" spans="1:10" x14ac:dyDescent="0.15">
      <c r="A48" s="170" t="s">
        <v>229</v>
      </c>
      <c r="B48" s="326" t="s">
        <v>228</v>
      </c>
      <c r="C48" s="318">
        <v>41653</v>
      </c>
      <c r="D48" s="327">
        <f t="shared" ca="1" si="18"/>
        <v>8</v>
      </c>
      <c r="E48" s="318">
        <v>41653</v>
      </c>
      <c r="F48" s="328" t="s">
        <v>175</v>
      </c>
      <c r="G48" s="329">
        <v>9000</v>
      </c>
      <c r="H48" s="174">
        <f t="shared" si="20"/>
        <v>50054</v>
      </c>
      <c r="I48" s="171"/>
      <c r="J48" s="158" t="str">
        <f t="shared" ca="1" si="1"/>
        <v/>
      </c>
    </row>
    <row r="49" spans="1:10" x14ac:dyDescent="0.15">
      <c r="A49" s="165" t="s">
        <v>225</v>
      </c>
      <c r="B49" s="166" t="s">
        <v>226</v>
      </c>
      <c r="C49" s="167">
        <v>29735</v>
      </c>
      <c r="D49" s="168">
        <f t="shared" ca="1" si="17"/>
        <v>41</v>
      </c>
      <c r="E49" s="167">
        <v>41477</v>
      </c>
      <c r="F49" s="255" t="s">
        <v>172</v>
      </c>
      <c r="G49" s="177">
        <v>17000</v>
      </c>
      <c r="H49" s="222"/>
      <c r="I49" s="169"/>
      <c r="J49" s="158" t="str">
        <f t="shared" ca="1" si="1"/>
        <v/>
      </c>
    </row>
    <row r="50" spans="1:10" x14ac:dyDescent="0.15">
      <c r="A50" s="172" t="s">
        <v>225</v>
      </c>
      <c r="B50" s="173" t="s">
        <v>227</v>
      </c>
      <c r="C50" s="174">
        <v>41554</v>
      </c>
      <c r="D50" s="175">
        <f t="shared" ref="D50:D55" ca="1" si="21">DATEDIF(C50,$A$1,"Y")</f>
        <v>8</v>
      </c>
      <c r="E50" s="174">
        <v>41554</v>
      </c>
      <c r="F50" s="256" t="s">
        <v>175</v>
      </c>
      <c r="G50" s="182">
        <v>9000</v>
      </c>
      <c r="H50" s="174">
        <f t="shared" ref="H50:H52" si="22">DATE(YEAR(C50)+23,MONTH(C50),DAY(C50))</f>
        <v>49955</v>
      </c>
      <c r="I50" s="176"/>
      <c r="J50" s="158" t="str">
        <f t="shared" ca="1" si="1"/>
        <v/>
      </c>
    </row>
    <row r="51" spans="1:10" x14ac:dyDescent="0.15">
      <c r="A51" s="165" t="s">
        <v>253</v>
      </c>
      <c r="B51" s="166" t="s">
        <v>254</v>
      </c>
      <c r="C51" s="167">
        <v>26813</v>
      </c>
      <c r="D51" s="168">
        <f t="shared" ca="1" si="21"/>
        <v>49</v>
      </c>
      <c r="E51" s="167">
        <v>42191</v>
      </c>
      <c r="F51" s="255" t="s">
        <v>177</v>
      </c>
      <c r="G51" s="177">
        <v>17000</v>
      </c>
      <c r="H51" s="222"/>
      <c r="I51" s="169"/>
      <c r="J51" s="158" t="str">
        <f t="shared" ca="1" si="1"/>
        <v/>
      </c>
    </row>
    <row r="52" spans="1:10" x14ac:dyDescent="0.15">
      <c r="A52" s="228" t="s">
        <v>253</v>
      </c>
      <c r="B52" s="173" t="s">
        <v>255</v>
      </c>
      <c r="C52" s="174">
        <v>37106</v>
      </c>
      <c r="D52" s="175">
        <f t="shared" ca="1" si="21"/>
        <v>20</v>
      </c>
      <c r="E52" s="174">
        <v>42191</v>
      </c>
      <c r="F52" s="256" t="s">
        <v>177</v>
      </c>
      <c r="G52" s="182">
        <v>9000</v>
      </c>
      <c r="H52" s="174">
        <f t="shared" si="22"/>
        <v>45507</v>
      </c>
      <c r="I52" s="176"/>
      <c r="J52" s="158" t="str">
        <f t="shared" ca="1" si="1"/>
        <v/>
      </c>
    </row>
    <row r="53" spans="1:10" x14ac:dyDescent="0.15">
      <c r="A53" s="165" t="s">
        <v>314</v>
      </c>
      <c r="B53" s="166" t="s">
        <v>311</v>
      </c>
      <c r="C53" s="167">
        <v>37519</v>
      </c>
      <c r="D53" s="168">
        <f t="shared" ca="1" si="21"/>
        <v>19</v>
      </c>
      <c r="E53" s="167">
        <v>43087</v>
      </c>
      <c r="F53" s="255" t="s">
        <v>310</v>
      </c>
      <c r="G53" s="177">
        <v>9000</v>
      </c>
      <c r="H53" s="167">
        <f t="shared" ref="H53:H55" si="23">DATE(YEAR(C53)+23,MONTH(C53),DAY(C53))</f>
        <v>45920</v>
      </c>
      <c r="I53" s="169"/>
      <c r="J53" s="158" t="str">
        <f t="shared" ca="1" si="1"/>
        <v/>
      </c>
    </row>
    <row r="54" spans="1:10" x14ac:dyDescent="0.15">
      <c r="A54" s="170" t="s">
        <v>314</v>
      </c>
      <c r="B54" s="326" t="s">
        <v>312</v>
      </c>
      <c r="C54" s="318">
        <v>38784</v>
      </c>
      <c r="D54" s="327">
        <f t="shared" ca="1" si="21"/>
        <v>16</v>
      </c>
      <c r="E54" s="318">
        <v>43087</v>
      </c>
      <c r="F54" s="328" t="s">
        <v>310</v>
      </c>
      <c r="G54" s="329">
        <v>4000</v>
      </c>
      <c r="H54" s="318">
        <f t="shared" si="23"/>
        <v>47185</v>
      </c>
      <c r="I54" s="171"/>
      <c r="J54" s="158" t="str">
        <f t="shared" ca="1" si="1"/>
        <v/>
      </c>
    </row>
    <row r="55" spans="1:10" x14ac:dyDescent="0.15">
      <c r="A55" s="172" t="s">
        <v>314</v>
      </c>
      <c r="B55" s="173" t="s">
        <v>313</v>
      </c>
      <c r="C55" s="174">
        <v>39166</v>
      </c>
      <c r="D55" s="175">
        <f t="shared" ca="1" si="21"/>
        <v>15</v>
      </c>
      <c r="E55" s="174">
        <v>43087</v>
      </c>
      <c r="F55" s="256" t="s">
        <v>310</v>
      </c>
      <c r="G55" s="182">
        <v>4000</v>
      </c>
      <c r="H55" s="174">
        <f t="shared" si="23"/>
        <v>47567</v>
      </c>
      <c r="I55" s="176"/>
      <c r="J55" s="158" t="str">
        <f t="shared" ca="1" si="1"/>
        <v/>
      </c>
    </row>
    <row r="56" spans="1:10" x14ac:dyDescent="0.15">
      <c r="A56" s="165" t="s">
        <v>315</v>
      </c>
      <c r="B56" s="222" t="s">
        <v>316</v>
      </c>
      <c r="C56" s="167">
        <v>43085</v>
      </c>
      <c r="D56" s="168">
        <f t="shared" ref="D56" ca="1" si="24">DATEDIF(C56,$A$1,"Y")</f>
        <v>4</v>
      </c>
      <c r="E56" s="167">
        <v>43085</v>
      </c>
      <c r="F56" s="255" t="s">
        <v>175</v>
      </c>
      <c r="G56" s="177">
        <v>9000</v>
      </c>
      <c r="H56" s="318">
        <f t="shared" ref="H56:H61" si="25">DATE(YEAR(C56)+23,MONTH(C56),DAY(C56))</f>
        <v>51486</v>
      </c>
      <c r="I56" s="169"/>
      <c r="J56" s="158"/>
    </row>
    <row r="57" spans="1:10" x14ac:dyDescent="0.15">
      <c r="A57" s="320" t="s">
        <v>328</v>
      </c>
      <c r="B57" s="321" t="s">
        <v>329</v>
      </c>
      <c r="C57" s="322">
        <v>43833</v>
      </c>
      <c r="D57" s="323">
        <f t="shared" ref="D57:D61" ca="1" si="26">DATEDIF(C57,$A$1,"Y")</f>
        <v>2</v>
      </c>
      <c r="E57" s="322">
        <v>43833</v>
      </c>
      <c r="F57" s="324" t="s">
        <v>175</v>
      </c>
      <c r="G57" s="188">
        <v>9000</v>
      </c>
      <c r="H57" s="322">
        <f t="shared" si="25"/>
        <v>52234</v>
      </c>
      <c r="I57" s="325"/>
      <c r="J57" s="158"/>
    </row>
    <row r="58" spans="1:10" x14ac:dyDescent="0.15">
      <c r="A58" s="184" t="s">
        <v>331</v>
      </c>
      <c r="B58" s="2" t="s">
        <v>332</v>
      </c>
      <c r="C58" s="186">
        <v>41566</v>
      </c>
      <c r="D58" s="187">
        <f ca="1">DATEDIF(C58,$A$1,"Y")</f>
        <v>8</v>
      </c>
      <c r="E58" s="186">
        <v>43913</v>
      </c>
      <c r="F58" s="253" t="s">
        <v>333</v>
      </c>
      <c r="G58" s="188">
        <v>9000</v>
      </c>
      <c r="H58" s="186">
        <f t="shared" ref="H58:H60" si="27">DATE(YEAR(C58)+23,MONTH(C58),DAY(C58))</f>
        <v>49967</v>
      </c>
      <c r="I58" s="164"/>
      <c r="J58" s="158"/>
    </row>
    <row r="59" spans="1:10" x14ac:dyDescent="0.15">
      <c r="A59" s="342" t="s">
        <v>340</v>
      </c>
      <c r="B59" s="343" t="s">
        <v>341</v>
      </c>
      <c r="C59" s="344">
        <v>31648</v>
      </c>
      <c r="D59" s="345">
        <f ca="1">DATEDIF(C59,$A$1,"Y")</f>
        <v>35</v>
      </c>
      <c r="E59" s="344">
        <v>44369</v>
      </c>
      <c r="F59" s="346" t="s">
        <v>177</v>
      </c>
      <c r="G59" s="177">
        <v>17000</v>
      </c>
      <c r="H59" s="344">
        <f t="shared" si="27"/>
        <v>40049</v>
      </c>
      <c r="I59" s="347"/>
      <c r="J59" s="158"/>
    </row>
    <row r="60" spans="1:10" x14ac:dyDescent="0.15">
      <c r="A60" s="348" t="s">
        <v>340</v>
      </c>
      <c r="B60" s="349" t="s">
        <v>342</v>
      </c>
      <c r="C60" s="350">
        <v>44282</v>
      </c>
      <c r="D60" s="351">
        <f ca="1">DATEDIF(C60,$A$1,"Y")</f>
        <v>1</v>
      </c>
      <c r="E60" s="350">
        <v>44369</v>
      </c>
      <c r="F60" s="352" t="s">
        <v>177</v>
      </c>
      <c r="G60" s="182">
        <v>9000</v>
      </c>
      <c r="H60" s="350">
        <f t="shared" si="27"/>
        <v>52683</v>
      </c>
      <c r="I60" s="353"/>
      <c r="J60" s="158"/>
    </row>
    <row r="61" spans="1:10" x14ac:dyDescent="0.15">
      <c r="A61" s="184" t="s">
        <v>331</v>
      </c>
      <c r="B61" s="2" t="s">
        <v>332</v>
      </c>
      <c r="C61" s="186">
        <v>41566</v>
      </c>
      <c r="D61" s="187">
        <f t="shared" ca="1" si="26"/>
        <v>8</v>
      </c>
      <c r="E61" s="186">
        <v>43913</v>
      </c>
      <c r="F61" s="253" t="s">
        <v>333</v>
      </c>
      <c r="G61" s="188">
        <v>9000</v>
      </c>
      <c r="H61" s="186">
        <f t="shared" si="25"/>
        <v>49967</v>
      </c>
      <c r="I61" s="164"/>
      <c r="J61" s="158"/>
    </row>
    <row r="62" spans="1:10" ht="14.25" thickBot="1" x14ac:dyDescent="0.2">
      <c r="G62" s="227">
        <f>SUM(G39:G61)</f>
        <v>200000</v>
      </c>
    </row>
  </sheetData>
  <mergeCells count="1">
    <mergeCell ref="A1:B1"/>
  </mergeCells>
  <phoneticPr fontId="3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pageSetUpPr fitToPage="1"/>
  </sheetPr>
  <dimension ref="A1:M33"/>
  <sheetViews>
    <sheetView showGridLines="0" workbookViewId="0">
      <selection activeCell="D25" sqref="D25"/>
    </sheetView>
  </sheetViews>
  <sheetFormatPr defaultRowHeight="13.5" x14ac:dyDescent="0.15"/>
  <cols>
    <col min="1" max="2" width="9" style="131"/>
    <col min="3" max="3" width="4.625" style="131" customWidth="1"/>
    <col min="4" max="7" width="9" style="131" customWidth="1"/>
    <col min="8" max="16384" width="9" style="131"/>
  </cols>
  <sheetData>
    <row r="1" spans="1:13" ht="59.25" customHeight="1" x14ac:dyDescent="0.15">
      <c r="K1" s="137">
        <v>1</v>
      </c>
      <c r="M1" s="131" t="str">
        <f>VLOOKUP(K1,K2:M5,3,TRUE)</f>
        <v>ALL</v>
      </c>
    </row>
    <row r="2" spans="1:13" ht="27" customHeight="1" x14ac:dyDescent="0.15">
      <c r="A2" s="131" t="s">
        <v>308</v>
      </c>
      <c r="D2" s="243" t="s">
        <v>271</v>
      </c>
      <c r="E2" s="243" t="s">
        <v>53</v>
      </c>
      <c r="F2" s="243" t="s">
        <v>279</v>
      </c>
      <c r="G2" s="243" t="s">
        <v>272</v>
      </c>
      <c r="H2" s="243" t="s">
        <v>279</v>
      </c>
      <c r="K2" s="131">
        <v>1</v>
      </c>
      <c r="L2" s="131" t="s">
        <v>300</v>
      </c>
      <c r="M2" s="131" t="s">
        <v>302</v>
      </c>
    </row>
    <row r="3" spans="1:13" ht="18" customHeight="1" x14ac:dyDescent="0.15">
      <c r="A3" s="439" t="s">
        <v>275</v>
      </c>
      <c r="B3" s="243" t="s">
        <v>273</v>
      </c>
      <c r="C3" s="243" t="s">
        <v>274</v>
      </c>
      <c r="D3" s="137">
        <v>19</v>
      </c>
      <c r="E3" s="245">
        <v>747</v>
      </c>
      <c r="F3" s="244">
        <f>IF(E3="","",E3/D3)</f>
        <v>39.315789473684212</v>
      </c>
      <c r="G3" s="137">
        <v>233</v>
      </c>
      <c r="H3" s="244">
        <f>IF(G3="","",G3/D3)</f>
        <v>12.263157894736842</v>
      </c>
      <c r="K3" s="131">
        <v>2</v>
      </c>
      <c r="L3" s="131" t="s">
        <v>298</v>
      </c>
      <c r="M3" s="131" t="s">
        <v>303</v>
      </c>
    </row>
    <row r="4" spans="1:13" ht="18" customHeight="1" x14ac:dyDescent="0.15">
      <c r="A4" s="439"/>
      <c r="B4" s="439" t="s">
        <v>276</v>
      </c>
      <c r="C4" s="243" t="s">
        <v>274</v>
      </c>
      <c r="D4" s="137">
        <v>11</v>
      </c>
      <c r="E4" s="245">
        <v>442</v>
      </c>
      <c r="F4" s="244">
        <f t="shared" ref="F4:F20" si="0">IF(E4="","",E4/D4)</f>
        <v>40.18181818181818</v>
      </c>
      <c r="G4" s="137">
        <v>129</v>
      </c>
      <c r="H4" s="244">
        <f t="shared" ref="H4:H12" si="1">IF(G4="","",G4/D4)</f>
        <v>11.727272727272727</v>
      </c>
      <c r="K4" s="131">
        <v>3</v>
      </c>
      <c r="L4" s="131" t="s">
        <v>299</v>
      </c>
      <c r="M4" s="131" t="s">
        <v>304</v>
      </c>
    </row>
    <row r="5" spans="1:13" ht="18" customHeight="1" x14ac:dyDescent="0.15">
      <c r="A5" s="439"/>
      <c r="B5" s="439"/>
      <c r="C5" s="243" t="s">
        <v>278</v>
      </c>
      <c r="D5" s="137">
        <v>15</v>
      </c>
      <c r="E5" s="245">
        <v>528</v>
      </c>
      <c r="F5" s="244">
        <f t="shared" si="0"/>
        <v>35.200000000000003</v>
      </c>
      <c r="G5" s="137">
        <v>138</v>
      </c>
      <c r="H5" s="244">
        <f t="shared" si="1"/>
        <v>9.1999999999999993</v>
      </c>
      <c r="K5" s="131">
        <v>4</v>
      </c>
      <c r="L5" s="131" t="s">
        <v>301</v>
      </c>
      <c r="M5" s="131" t="s">
        <v>305</v>
      </c>
    </row>
    <row r="6" spans="1:13" ht="18" customHeight="1" x14ac:dyDescent="0.15">
      <c r="A6" s="439"/>
      <c r="B6" s="439" t="s">
        <v>277</v>
      </c>
      <c r="C6" s="243" t="s">
        <v>274</v>
      </c>
      <c r="D6" s="137">
        <v>16</v>
      </c>
      <c r="E6" s="245">
        <v>644</v>
      </c>
      <c r="F6" s="244">
        <f t="shared" si="0"/>
        <v>40.25</v>
      </c>
      <c r="G6" s="137">
        <v>149</v>
      </c>
      <c r="H6" s="244">
        <f t="shared" si="1"/>
        <v>9.3125</v>
      </c>
    </row>
    <row r="7" spans="1:13" ht="18" customHeight="1" x14ac:dyDescent="0.15">
      <c r="A7" s="439"/>
      <c r="B7" s="439"/>
      <c r="C7" s="243" t="s">
        <v>278</v>
      </c>
      <c r="D7" s="137"/>
      <c r="E7" s="245"/>
      <c r="F7" s="244" t="str">
        <f t="shared" si="0"/>
        <v/>
      </c>
      <c r="G7" s="137"/>
      <c r="H7" s="244" t="str">
        <f t="shared" si="1"/>
        <v/>
      </c>
    </row>
    <row r="8" spans="1:13" ht="18" customHeight="1" x14ac:dyDescent="0.15">
      <c r="A8" s="440" t="s">
        <v>270</v>
      </c>
      <c r="B8" s="243" t="s">
        <v>273</v>
      </c>
      <c r="C8" s="243" t="s">
        <v>274</v>
      </c>
      <c r="D8" s="137">
        <v>2</v>
      </c>
      <c r="E8" s="245">
        <v>127</v>
      </c>
      <c r="F8" s="244">
        <f t="shared" si="0"/>
        <v>63.5</v>
      </c>
      <c r="G8" s="137">
        <v>83</v>
      </c>
      <c r="H8" s="244">
        <f>IF(G8="","",G8/D8)</f>
        <v>41.5</v>
      </c>
    </row>
    <row r="9" spans="1:13" ht="18" customHeight="1" x14ac:dyDescent="0.15">
      <c r="A9" s="441"/>
      <c r="B9" s="439" t="s">
        <v>276</v>
      </c>
      <c r="C9" s="243" t="s">
        <v>274</v>
      </c>
      <c r="D9" s="137">
        <v>2</v>
      </c>
      <c r="E9" s="245">
        <v>123</v>
      </c>
      <c r="F9" s="244">
        <f t="shared" si="0"/>
        <v>61.5</v>
      </c>
      <c r="G9" s="137">
        <v>43</v>
      </c>
      <c r="H9" s="244">
        <f t="shared" si="1"/>
        <v>21.5</v>
      </c>
    </row>
    <row r="10" spans="1:13" ht="18" customHeight="1" x14ac:dyDescent="0.15">
      <c r="A10" s="441"/>
      <c r="B10" s="439"/>
      <c r="C10" s="243" t="s">
        <v>278</v>
      </c>
      <c r="D10" s="137">
        <v>4</v>
      </c>
      <c r="E10" s="245">
        <v>172</v>
      </c>
      <c r="F10" s="244">
        <f t="shared" si="0"/>
        <v>43</v>
      </c>
      <c r="G10" s="137">
        <v>6</v>
      </c>
      <c r="H10" s="244">
        <f t="shared" si="1"/>
        <v>1.5</v>
      </c>
    </row>
    <row r="11" spans="1:13" ht="18" customHeight="1" x14ac:dyDescent="0.15">
      <c r="A11" s="441"/>
      <c r="B11" s="439" t="s">
        <v>277</v>
      </c>
      <c r="C11" s="243" t="s">
        <v>274</v>
      </c>
      <c r="D11" s="137">
        <v>12</v>
      </c>
      <c r="E11" s="245">
        <v>654</v>
      </c>
      <c r="F11" s="244">
        <f t="shared" si="0"/>
        <v>54.5</v>
      </c>
      <c r="G11" s="137">
        <v>153</v>
      </c>
      <c r="H11" s="244">
        <f t="shared" si="1"/>
        <v>12.75</v>
      </c>
    </row>
    <row r="12" spans="1:13" ht="18" customHeight="1" x14ac:dyDescent="0.15">
      <c r="A12" s="442"/>
      <c r="B12" s="439"/>
      <c r="C12" s="243" t="s">
        <v>278</v>
      </c>
      <c r="D12" s="137">
        <v>3</v>
      </c>
      <c r="E12" s="245">
        <v>134</v>
      </c>
      <c r="F12" s="244">
        <f t="shared" si="0"/>
        <v>44.666666666666664</v>
      </c>
      <c r="G12" s="137">
        <v>28</v>
      </c>
      <c r="H12" s="244">
        <f t="shared" si="1"/>
        <v>9.3333333333333339</v>
      </c>
    </row>
    <row r="13" spans="1:13" ht="18" customHeight="1" x14ac:dyDescent="0.15"/>
    <row r="14" spans="1:13" ht="18" customHeight="1" x14ac:dyDescent="0.15">
      <c r="A14" s="435" t="s">
        <v>280</v>
      </c>
      <c r="B14" s="436"/>
      <c r="C14" s="243" t="s">
        <v>274</v>
      </c>
      <c r="D14" s="137">
        <f>D3+D4+D6</f>
        <v>46</v>
      </c>
      <c r="E14" s="245">
        <f>E3+E4+E6</f>
        <v>1833</v>
      </c>
      <c r="F14" s="244">
        <f>IF(E14="","",E14/D14)</f>
        <v>39.847826086956523</v>
      </c>
      <c r="G14" s="245">
        <f>G3+G4+G6</f>
        <v>511</v>
      </c>
      <c r="H14" s="244">
        <f t="shared" ref="H14:H20" si="2">IF(G14="","",G14/D14)</f>
        <v>11.108695652173912</v>
      </c>
    </row>
    <row r="15" spans="1:13" ht="18" customHeight="1" x14ac:dyDescent="0.15">
      <c r="A15" s="431"/>
      <c r="B15" s="432"/>
      <c r="C15" s="243" t="s">
        <v>278</v>
      </c>
      <c r="D15" s="137">
        <f>D5+D7</f>
        <v>15</v>
      </c>
      <c r="E15" s="245">
        <f>E5+E7</f>
        <v>528</v>
      </c>
      <c r="F15" s="244">
        <f t="shared" ref="F15:F16" si="3">IF(E15="","",E15/D15)</f>
        <v>35.200000000000003</v>
      </c>
      <c r="G15" s="245">
        <f>G5+G7</f>
        <v>138</v>
      </c>
      <c r="H15" s="244">
        <f t="shared" si="2"/>
        <v>9.1999999999999993</v>
      </c>
    </row>
    <row r="16" spans="1:13" ht="18" customHeight="1" x14ac:dyDescent="0.15">
      <c r="A16" s="433"/>
      <c r="B16" s="434"/>
      <c r="C16" s="243" t="s">
        <v>306</v>
      </c>
      <c r="D16" s="137">
        <f>SUM(D14:D15)</f>
        <v>61</v>
      </c>
      <c r="E16" s="245">
        <f>SUM(E14:E15)</f>
        <v>2361</v>
      </c>
      <c r="F16" s="244">
        <f t="shared" si="3"/>
        <v>38.704918032786885</v>
      </c>
      <c r="G16" s="245">
        <f>SUM(G14:G15)</f>
        <v>649</v>
      </c>
      <c r="H16" s="244">
        <f t="shared" si="2"/>
        <v>10.639344262295081</v>
      </c>
    </row>
    <row r="17" spans="1:8" ht="18" customHeight="1" x14ac:dyDescent="0.15">
      <c r="A17" s="435" t="s">
        <v>281</v>
      </c>
      <c r="B17" s="436"/>
      <c r="C17" s="243" t="s">
        <v>274</v>
      </c>
      <c r="D17" s="137">
        <f>D8+D9+D11</f>
        <v>16</v>
      </c>
      <c r="E17" s="245">
        <f>E8+E9+E11</f>
        <v>904</v>
      </c>
      <c r="F17" s="244">
        <f t="shared" si="0"/>
        <v>56.5</v>
      </c>
      <c r="G17" s="245">
        <f>G8+G9+G11</f>
        <v>279</v>
      </c>
      <c r="H17" s="244">
        <f t="shared" si="2"/>
        <v>17.4375</v>
      </c>
    </row>
    <row r="18" spans="1:8" ht="18" customHeight="1" x14ac:dyDescent="0.15">
      <c r="A18" s="431"/>
      <c r="B18" s="432"/>
      <c r="C18" s="243" t="s">
        <v>278</v>
      </c>
      <c r="D18" s="137">
        <f>D10+D12</f>
        <v>7</v>
      </c>
      <c r="E18" s="245">
        <f>E10+E12</f>
        <v>306</v>
      </c>
      <c r="F18" s="244">
        <f t="shared" si="0"/>
        <v>43.714285714285715</v>
      </c>
      <c r="G18" s="245">
        <f>G10+G12</f>
        <v>34</v>
      </c>
      <c r="H18" s="244">
        <f t="shared" si="2"/>
        <v>4.8571428571428568</v>
      </c>
    </row>
    <row r="19" spans="1:8" ht="18" customHeight="1" thickBot="1" x14ac:dyDescent="0.2">
      <c r="A19" s="437"/>
      <c r="B19" s="438"/>
      <c r="C19" s="249" t="s">
        <v>306</v>
      </c>
      <c r="D19" s="250">
        <f>SUM(D17:D18)</f>
        <v>23</v>
      </c>
      <c r="E19" s="251">
        <f>SUM(E17:E18)</f>
        <v>1210</v>
      </c>
      <c r="F19" s="252">
        <f t="shared" si="0"/>
        <v>52.608695652173914</v>
      </c>
      <c r="G19" s="251">
        <f>SUM(G17:G18)</f>
        <v>313</v>
      </c>
      <c r="H19" s="252">
        <f t="shared" si="2"/>
        <v>13.608695652173912</v>
      </c>
    </row>
    <row r="20" spans="1:8" ht="18" customHeight="1" thickTop="1" x14ac:dyDescent="0.15">
      <c r="A20" s="431" t="s">
        <v>282</v>
      </c>
      <c r="B20" s="432"/>
      <c r="C20" s="246" t="s">
        <v>274</v>
      </c>
      <c r="D20" s="247">
        <f>D14+D17</f>
        <v>62</v>
      </c>
      <c r="E20" s="247">
        <f>E14+E17</f>
        <v>2737</v>
      </c>
      <c r="F20" s="248">
        <f t="shared" si="0"/>
        <v>44.145161290322584</v>
      </c>
      <c r="G20" s="247">
        <f>G14+G17</f>
        <v>790</v>
      </c>
      <c r="H20" s="248">
        <f t="shared" si="2"/>
        <v>12.741935483870968</v>
      </c>
    </row>
    <row r="21" spans="1:8" ht="18" customHeight="1" x14ac:dyDescent="0.15">
      <c r="A21" s="431"/>
      <c r="B21" s="432"/>
      <c r="C21" s="243" t="s">
        <v>278</v>
      </c>
      <c r="D21" s="137">
        <f t="shared" ref="D21:E22" si="4">D15+D18</f>
        <v>22</v>
      </c>
      <c r="E21" s="137">
        <f t="shared" si="4"/>
        <v>834</v>
      </c>
      <c r="F21" s="244">
        <f t="shared" ref="F21:F22" si="5">IF(E21="","",E21/D21)</f>
        <v>37.909090909090907</v>
      </c>
      <c r="G21" s="137">
        <f t="shared" ref="G21" si="6">G15+G18</f>
        <v>172</v>
      </c>
      <c r="H21" s="244">
        <f t="shared" ref="H21:H22" si="7">IF(G21="","",G21/D21)</f>
        <v>7.8181818181818183</v>
      </c>
    </row>
    <row r="22" spans="1:8" ht="18" customHeight="1" x14ac:dyDescent="0.15">
      <c r="A22" s="433"/>
      <c r="B22" s="434"/>
      <c r="C22" s="243" t="s">
        <v>306</v>
      </c>
      <c r="D22" s="137">
        <f>D16+D19</f>
        <v>84</v>
      </c>
      <c r="E22" s="137">
        <f t="shared" si="4"/>
        <v>3571</v>
      </c>
      <c r="F22" s="244">
        <f t="shared" si="5"/>
        <v>42.511904761904759</v>
      </c>
      <c r="G22" s="137">
        <f t="shared" ref="G22" si="8">G16+G19</f>
        <v>962</v>
      </c>
      <c r="H22" s="244">
        <f t="shared" si="7"/>
        <v>11.452380952380953</v>
      </c>
    </row>
    <row r="24" spans="1:8" ht="27" customHeight="1" x14ac:dyDescent="0.15">
      <c r="A24" s="131" t="s">
        <v>307</v>
      </c>
      <c r="D24" s="243" t="s">
        <v>271</v>
      </c>
    </row>
    <row r="25" spans="1:8" ht="18" customHeight="1" x14ac:dyDescent="0.15">
      <c r="A25" s="435" t="s">
        <v>280</v>
      </c>
      <c r="B25" s="436"/>
      <c r="C25" s="243" t="s">
        <v>274</v>
      </c>
      <c r="D25" s="137">
        <v>11</v>
      </c>
    </row>
    <row r="26" spans="1:8" ht="18" customHeight="1" x14ac:dyDescent="0.15">
      <c r="A26" s="431"/>
      <c r="B26" s="432"/>
      <c r="C26" s="243" t="s">
        <v>278</v>
      </c>
      <c r="D26" s="137">
        <v>4</v>
      </c>
    </row>
    <row r="27" spans="1:8" ht="18" customHeight="1" x14ac:dyDescent="0.15">
      <c r="A27" s="433"/>
      <c r="B27" s="434"/>
      <c r="C27" s="243" t="s">
        <v>306</v>
      </c>
      <c r="D27" s="137">
        <f>SUM(D25:D26)</f>
        <v>15</v>
      </c>
    </row>
    <row r="28" spans="1:8" ht="18" customHeight="1" x14ac:dyDescent="0.15">
      <c r="A28" s="435" t="s">
        <v>281</v>
      </c>
      <c r="B28" s="436"/>
      <c r="C28" s="243" t="s">
        <v>274</v>
      </c>
      <c r="D28" s="137">
        <v>1</v>
      </c>
    </row>
    <row r="29" spans="1:8" ht="18" customHeight="1" x14ac:dyDescent="0.15">
      <c r="A29" s="431"/>
      <c r="B29" s="432"/>
      <c r="C29" s="243" t="s">
        <v>278</v>
      </c>
      <c r="D29" s="137">
        <v>5</v>
      </c>
    </row>
    <row r="30" spans="1:8" ht="18" customHeight="1" thickBot="1" x14ac:dyDescent="0.2">
      <c r="A30" s="437"/>
      <c r="B30" s="438"/>
      <c r="C30" s="249" t="s">
        <v>306</v>
      </c>
      <c r="D30" s="250">
        <f>SUM(D28:D29)</f>
        <v>6</v>
      </c>
    </row>
    <row r="31" spans="1:8" ht="18" customHeight="1" thickTop="1" x14ac:dyDescent="0.15">
      <c r="A31" s="431" t="s">
        <v>282</v>
      </c>
      <c r="B31" s="432"/>
      <c r="C31" s="246" t="s">
        <v>274</v>
      </c>
      <c r="D31" s="247">
        <f>D25+D28</f>
        <v>12</v>
      </c>
    </row>
    <row r="32" spans="1:8" ht="18" customHeight="1" x14ac:dyDescent="0.15">
      <c r="A32" s="431"/>
      <c r="B32" s="432"/>
      <c r="C32" s="243" t="s">
        <v>278</v>
      </c>
      <c r="D32" s="137">
        <f t="shared" ref="D32:D33" si="9">D26+D29</f>
        <v>9</v>
      </c>
    </row>
    <row r="33" spans="1:4" ht="18" customHeight="1" x14ac:dyDescent="0.15">
      <c r="A33" s="433"/>
      <c r="B33" s="434"/>
      <c r="C33" s="243" t="s">
        <v>306</v>
      </c>
      <c r="D33" s="137">
        <f t="shared" si="9"/>
        <v>21</v>
      </c>
    </row>
  </sheetData>
  <mergeCells count="12">
    <mergeCell ref="A31:B33"/>
    <mergeCell ref="A25:B27"/>
    <mergeCell ref="A28:B30"/>
    <mergeCell ref="A20:B22"/>
    <mergeCell ref="A3:A7"/>
    <mergeCell ref="A8:A12"/>
    <mergeCell ref="B9:B10"/>
    <mergeCell ref="B11:B12"/>
    <mergeCell ref="B4:B5"/>
    <mergeCell ref="B6:B7"/>
    <mergeCell ref="A14:B16"/>
    <mergeCell ref="A17:B19"/>
  </mergeCells>
  <phoneticPr fontId="3"/>
  <pageMargins left="1.9685039370078741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t_total">
                <anchor moveWithCells="1" sizeWithCells="1">
                  <from>
                    <xdr:col>5</xdr:col>
                    <xdr:colOff>666750</xdr:colOff>
                    <xdr:row>0</xdr:row>
                    <xdr:rowOff>161925</xdr:rowOff>
                  </from>
                  <to>
                    <xdr:col>7</xdr:col>
                    <xdr:colOff>85725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List Box 2">
              <controlPr defaultSize="0" autoLine="0" autoPict="0">
                <anchor moveWithCells="1">
                  <from>
                    <xdr:col>0</xdr:col>
                    <xdr:colOff>419100</xdr:colOff>
                    <xdr:row>0</xdr:row>
                    <xdr:rowOff>95250</xdr:rowOff>
                  </from>
                  <to>
                    <xdr:col>1</xdr:col>
                    <xdr:colOff>552450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Q17"/>
  <sheetViews>
    <sheetView workbookViewId="0"/>
  </sheetViews>
  <sheetFormatPr defaultRowHeight="13.5" x14ac:dyDescent="0.15"/>
  <cols>
    <col min="1" max="1" width="8.625" style="131" customWidth="1"/>
    <col min="2" max="2" width="21.625" style="131" customWidth="1"/>
    <col min="3" max="4" width="8.625" style="131" customWidth="1"/>
    <col min="5" max="5" width="6.5" style="131" bestFit="1" customWidth="1"/>
    <col min="6" max="6" width="4.125" style="131" bestFit="1" customWidth="1"/>
    <col min="7" max="7" width="8.625" style="131" customWidth="1"/>
    <col min="8" max="16384" width="9" style="131"/>
  </cols>
  <sheetData>
    <row r="1" spans="1:17" ht="52.5" customHeight="1" x14ac:dyDescent="0.15"/>
    <row r="2" spans="1:17" ht="27" customHeight="1" x14ac:dyDescent="0.15">
      <c r="B2" s="230" t="s">
        <v>444</v>
      </c>
      <c r="C2" s="231"/>
      <c r="D2" s="231"/>
      <c r="E2" s="231"/>
      <c r="F2" s="231"/>
    </row>
    <row r="3" spans="1:17" ht="27" customHeight="1" x14ac:dyDescent="0.15">
      <c r="B3" s="231"/>
      <c r="C3" s="231"/>
      <c r="D3" s="231"/>
      <c r="E3" s="231"/>
      <c r="F3" s="231"/>
      <c r="I3" s="445" t="s">
        <v>256</v>
      </c>
      <c r="J3" s="446"/>
      <c r="K3" s="446"/>
      <c r="L3" s="447"/>
      <c r="M3" s="445" t="s">
        <v>270</v>
      </c>
      <c r="N3" s="446"/>
      <c r="O3" s="446"/>
      <c r="P3" s="447"/>
    </row>
    <row r="4" spans="1:17" ht="27" customHeight="1" x14ac:dyDescent="0.15">
      <c r="A4" s="229"/>
      <c r="B4" s="234" t="s">
        <v>258</v>
      </c>
      <c r="C4" s="235"/>
      <c r="D4" s="236"/>
      <c r="E4" s="448" t="s">
        <v>259</v>
      </c>
      <c r="F4" s="448"/>
      <c r="G4" s="237"/>
      <c r="I4" s="232" t="s">
        <v>257</v>
      </c>
      <c r="J4" s="445" t="s">
        <v>293</v>
      </c>
      <c r="K4" s="447"/>
      <c r="L4" s="233" t="s">
        <v>136</v>
      </c>
      <c r="M4" s="445" t="s">
        <v>293</v>
      </c>
      <c r="N4" s="447"/>
      <c r="O4" s="445" t="s">
        <v>136</v>
      </c>
      <c r="P4" s="447"/>
    </row>
    <row r="5" spans="1:17" ht="27" customHeight="1" x14ac:dyDescent="0.15">
      <c r="A5" s="238"/>
      <c r="B5" s="230"/>
      <c r="C5" s="231"/>
      <c r="D5" s="239"/>
      <c r="E5" s="230"/>
      <c r="F5" s="240"/>
      <c r="G5" s="241"/>
      <c r="I5" s="232" t="s">
        <v>260</v>
      </c>
      <c r="J5" s="232" t="s">
        <v>260</v>
      </c>
      <c r="K5" s="232" t="s">
        <v>261</v>
      </c>
      <c r="L5" s="232" t="s">
        <v>260</v>
      </c>
      <c r="M5" s="232" t="s">
        <v>260</v>
      </c>
      <c r="N5" s="232" t="s">
        <v>261</v>
      </c>
      <c r="O5" s="232" t="s">
        <v>260</v>
      </c>
      <c r="P5" s="232" t="s">
        <v>261</v>
      </c>
    </row>
    <row r="6" spans="1:17" ht="27" customHeight="1" x14ac:dyDescent="0.15">
      <c r="A6" s="238"/>
      <c r="B6" s="230" t="s">
        <v>262</v>
      </c>
      <c r="C6" s="231"/>
      <c r="D6" s="239"/>
      <c r="E6" s="230">
        <f>SUM(I6:P6)</f>
        <v>27</v>
      </c>
      <c r="F6" s="240" t="s">
        <v>263</v>
      </c>
      <c r="G6" s="241"/>
      <c r="I6" s="137">
        <v>7</v>
      </c>
      <c r="J6" s="137">
        <v>4</v>
      </c>
      <c r="K6" s="137">
        <v>5</v>
      </c>
      <c r="L6" s="137">
        <v>4</v>
      </c>
      <c r="M6" s="137">
        <v>1</v>
      </c>
      <c r="N6" s="137">
        <v>2</v>
      </c>
      <c r="O6" s="137">
        <v>4</v>
      </c>
      <c r="P6" s="137"/>
    </row>
    <row r="7" spans="1:17" ht="27" customHeight="1" x14ac:dyDescent="0.15">
      <c r="A7" s="238"/>
      <c r="B7" s="230" t="s">
        <v>264</v>
      </c>
      <c r="C7" s="231"/>
      <c r="D7" s="239"/>
      <c r="E7" s="230">
        <f t="shared" ref="E7:E11" si="0">SUM(I7:P7)</f>
        <v>13</v>
      </c>
      <c r="F7" s="240" t="s">
        <v>263</v>
      </c>
      <c r="G7" s="241"/>
      <c r="I7" s="137">
        <v>4</v>
      </c>
      <c r="J7" s="137">
        <v>1</v>
      </c>
      <c r="K7" s="137">
        <v>2</v>
      </c>
      <c r="L7" s="137">
        <v>2</v>
      </c>
      <c r="M7" s="137"/>
      <c r="N7" s="137"/>
      <c r="O7" s="137">
        <v>3</v>
      </c>
      <c r="P7" s="137">
        <v>1</v>
      </c>
    </row>
    <row r="8" spans="1:17" ht="27" customHeight="1" x14ac:dyDescent="0.15">
      <c r="A8" s="238"/>
      <c r="B8" s="230" t="s">
        <v>321</v>
      </c>
      <c r="C8" s="231"/>
      <c r="D8" s="239"/>
      <c r="E8" s="230">
        <f t="shared" si="0"/>
        <v>4</v>
      </c>
      <c r="F8" s="240" t="s">
        <v>263</v>
      </c>
      <c r="G8" s="241"/>
      <c r="I8" s="137">
        <v>1</v>
      </c>
      <c r="J8" s="137"/>
      <c r="K8" s="137"/>
      <c r="L8" s="137"/>
      <c r="M8" s="137"/>
      <c r="N8" s="137">
        <v>1</v>
      </c>
      <c r="O8" s="137">
        <v>1</v>
      </c>
      <c r="P8" s="137">
        <v>1</v>
      </c>
    </row>
    <row r="9" spans="1:17" ht="27" customHeight="1" x14ac:dyDescent="0.15">
      <c r="A9" s="238"/>
      <c r="B9" s="230" t="s">
        <v>265</v>
      </c>
      <c r="C9" s="231"/>
      <c r="D9" s="239"/>
      <c r="E9" s="230">
        <f t="shared" si="0"/>
        <v>20</v>
      </c>
      <c r="F9" s="240" t="s">
        <v>263</v>
      </c>
      <c r="G9" s="241"/>
      <c r="I9" s="137">
        <v>4</v>
      </c>
      <c r="J9" s="137">
        <v>3</v>
      </c>
      <c r="K9" s="137">
        <v>5</v>
      </c>
      <c r="L9" s="137">
        <v>5</v>
      </c>
      <c r="M9" s="137">
        <v>1</v>
      </c>
      <c r="N9" s="137"/>
      <c r="O9" s="137">
        <v>1</v>
      </c>
      <c r="P9" s="137">
        <v>1</v>
      </c>
    </row>
    <row r="10" spans="1:17" ht="27" customHeight="1" x14ac:dyDescent="0.15">
      <c r="A10" s="238"/>
      <c r="B10" s="230" t="s">
        <v>266</v>
      </c>
      <c r="C10" s="231"/>
      <c r="D10" s="239"/>
      <c r="E10" s="230">
        <f t="shared" si="0"/>
        <v>14</v>
      </c>
      <c r="F10" s="240" t="s">
        <v>263</v>
      </c>
      <c r="G10" s="241"/>
      <c r="I10" s="137">
        <v>3</v>
      </c>
      <c r="J10" s="137">
        <v>2</v>
      </c>
      <c r="K10" s="137">
        <v>2</v>
      </c>
      <c r="L10" s="137">
        <v>4</v>
      </c>
      <c r="M10" s="137"/>
      <c r="N10" s="137">
        <v>1</v>
      </c>
      <c r="O10" s="137">
        <v>2</v>
      </c>
      <c r="P10" s="137"/>
    </row>
    <row r="11" spans="1:17" ht="27" customHeight="1" x14ac:dyDescent="0.15">
      <c r="A11" s="238"/>
      <c r="B11" s="230" t="s">
        <v>267</v>
      </c>
      <c r="C11" s="231"/>
      <c r="D11" s="239"/>
      <c r="E11" s="230">
        <f t="shared" si="0"/>
        <v>6</v>
      </c>
      <c r="F11" s="240" t="s">
        <v>263</v>
      </c>
      <c r="G11" s="241"/>
      <c r="I11" s="137">
        <v>2</v>
      </c>
      <c r="J11" s="137">
        <v>1</v>
      </c>
      <c r="K11" s="137">
        <v>1</v>
      </c>
      <c r="L11" s="137">
        <v>1</v>
      </c>
      <c r="M11" s="137"/>
      <c r="N11" s="137"/>
      <c r="O11" s="137">
        <v>1</v>
      </c>
      <c r="P11" s="137"/>
    </row>
    <row r="12" spans="1:17" ht="27" customHeight="1" x14ac:dyDescent="0.15">
      <c r="A12" s="238"/>
      <c r="B12" s="230"/>
      <c r="C12" s="231"/>
      <c r="D12" s="239"/>
      <c r="E12" s="230"/>
      <c r="F12" s="240"/>
      <c r="G12" s="241"/>
      <c r="I12" s="445" t="s">
        <v>268</v>
      </c>
      <c r="J12" s="446"/>
      <c r="K12" s="446"/>
      <c r="L12" s="446"/>
      <c r="M12" s="446"/>
      <c r="N12" s="446"/>
      <c r="O12" s="446"/>
      <c r="P12" s="447"/>
    </row>
    <row r="13" spans="1:17" ht="36" customHeight="1" thickBot="1" x14ac:dyDescent="0.2">
      <c r="A13" s="229"/>
      <c r="B13" s="234" t="s">
        <v>269</v>
      </c>
      <c r="C13" s="235"/>
      <c r="D13" s="236"/>
      <c r="E13" s="234">
        <f>SUM(E5:E12)</f>
        <v>84</v>
      </c>
      <c r="F13" s="234" t="s">
        <v>263</v>
      </c>
      <c r="G13" s="237"/>
      <c r="I13" s="137">
        <f>SUM(I6:I11)</f>
        <v>21</v>
      </c>
      <c r="J13" s="137">
        <f t="shared" ref="J13:P13" si="1">SUM(J6:J11)</f>
        <v>11</v>
      </c>
      <c r="K13" s="137">
        <f t="shared" si="1"/>
        <v>15</v>
      </c>
      <c r="L13" s="137">
        <f t="shared" si="1"/>
        <v>16</v>
      </c>
      <c r="M13" s="137">
        <f t="shared" si="1"/>
        <v>2</v>
      </c>
      <c r="N13" s="137">
        <f t="shared" si="1"/>
        <v>4</v>
      </c>
      <c r="O13" s="137">
        <f t="shared" si="1"/>
        <v>12</v>
      </c>
      <c r="P13" s="137">
        <f t="shared" si="1"/>
        <v>3</v>
      </c>
    </row>
    <row r="14" spans="1:17" ht="36" customHeight="1" thickBot="1" x14ac:dyDescent="0.2">
      <c r="I14" s="443">
        <f>SUM(I13:L13)</f>
        <v>63</v>
      </c>
      <c r="J14" s="443"/>
      <c r="K14" s="443"/>
      <c r="L14" s="443"/>
      <c r="M14" s="443">
        <f>SUM(M13:P13)</f>
        <v>21</v>
      </c>
      <c r="N14" s="443"/>
      <c r="O14" s="443"/>
      <c r="P14" s="444"/>
      <c r="Q14" s="242">
        <f>SUM(I14:P14)</f>
        <v>84</v>
      </c>
    </row>
    <row r="17" spans="9:9" x14ac:dyDescent="0.15">
      <c r="I17" s="131" t="s">
        <v>294</v>
      </c>
    </row>
  </sheetData>
  <mergeCells count="9">
    <mergeCell ref="I14:L14"/>
    <mergeCell ref="M14:P14"/>
    <mergeCell ref="I3:L3"/>
    <mergeCell ref="M3:P3"/>
    <mergeCell ref="E4:F4"/>
    <mergeCell ref="J4:K4"/>
    <mergeCell ref="M4:N4"/>
    <mergeCell ref="O4:P4"/>
    <mergeCell ref="I12:P12"/>
  </mergeCells>
  <phoneticPr fontId="3"/>
  <pageMargins left="1.9685039370078741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t_所在地">
                <anchor moveWithCells="1" sizeWithCells="1">
                  <from>
                    <xdr:col>8</xdr:col>
                    <xdr:colOff>0</xdr:colOff>
                    <xdr:row>0</xdr:row>
                    <xdr:rowOff>152400</xdr:rowOff>
                  </from>
                  <to>
                    <xdr:col>9</xdr:col>
                    <xdr:colOff>152400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</vt:i4>
      </vt:variant>
    </vt:vector>
  </HeadingPairs>
  <TitlesOfParts>
    <vt:vector size="10" baseType="lpstr">
      <vt:lpstr>Menu</vt:lpstr>
      <vt:lpstr>List</vt:lpstr>
      <vt:lpstr>Masta</vt:lpstr>
      <vt:lpstr>家族手当</vt:lpstr>
      <vt:lpstr>平均</vt:lpstr>
      <vt:lpstr>所在地</vt:lpstr>
      <vt:lpstr>List!Print_Area</vt:lpstr>
      <vt:lpstr>Masta!Print_Area</vt:lpstr>
      <vt:lpstr>所在地!Print_Area</vt:lpstr>
      <vt:lpstr>平均!Print_Area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鳥居金属興業㈱</dc:creator>
  <cp:lastModifiedBy>SCOTT</cp:lastModifiedBy>
  <cp:lastPrinted>2022-04-14T05:30:54Z</cp:lastPrinted>
  <dcterms:created xsi:type="dcterms:W3CDTF">2000-06-14T00:15:00Z</dcterms:created>
  <dcterms:modified xsi:type="dcterms:W3CDTF">2022-06-29T01:19:37Z</dcterms:modified>
</cp:coreProperties>
</file>