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給与\bin\"/>
    </mc:Choice>
  </mc:AlternateContent>
  <xr:revisionPtr revIDLastSave="0" documentId="13_ncr:1_{A1975538-D4E8-44C5-AABC-CDD377776AAC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Menu" sheetId="1" r:id="rId1"/>
    <sheet name="Data" sheetId="2" r:id="rId2"/>
    <sheet name="入力" sheetId="3" r:id="rId3"/>
    <sheet name="仕訳" sheetId="4" r:id="rId4"/>
    <sheet name="振替" sheetId="5" r:id="rId5"/>
  </sheets>
  <functionGroups builtInGroupCount="19"/>
  <definedNames>
    <definedName name="_xlnm.Print_Area" localSheetId="3">仕訳!$A$1:$J$48</definedName>
    <definedName name="_xlnm.Print_Area" localSheetId="2">入力!$A$1:$X$40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2" i="3" l="1"/>
  <c r="T37" i="3" l="1"/>
  <c r="M8" i="5" l="1"/>
  <c r="M6" i="5"/>
  <c r="M4" i="5"/>
  <c r="S36" i="3" l="1"/>
  <c r="R36" i="3"/>
  <c r="Q36" i="3"/>
  <c r="S33" i="3"/>
  <c r="R33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1" i="3"/>
  <c r="P36" i="3" l="1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F48" i="4" l="1"/>
  <c r="F47" i="4"/>
  <c r="L8" i="5" l="1"/>
  <c r="L6" i="5"/>
  <c r="L4" i="5"/>
  <c r="H8" i="5"/>
  <c r="H9" i="5" s="1"/>
  <c r="H4" i="5"/>
  <c r="H6" i="5"/>
  <c r="G4" i="5"/>
  <c r="F8" i="5"/>
  <c r="F6" i="5"/>
  <c r="F4" i="5"/>
  <c r="G8" i="5"/>
  <c r="G6" i="5"/>
  <c r="B4" i="5"/>
  <c r="B4" i="3" l="1"/>
  <c r="J33" i="3" l="1"/>
  <c r="I33" i="3"/>
  <c r="B8" i="5" l="1"/>
  <c r="P33" i="3" l="1"/>
  <c r="O33" i="3"/>
  <c r="K33" i="3"/>
  <c r="K8" i="5"/>
  <c r="K6" i="5"/>
  <c r="K4" i="5"/>
  <c r="L3" i="5"/>
  <c r="B6" i="5"/>
  <c r="J8" i="5" l="1"/>
  <c r="I8" i="5"/>
  <c r="E8" i="5"/>
  <c r="D8" i="5"/>
  <c r="D9" i="5" s="1"/>
  <c r="C8" i="5"/>
  <c r="J6" i="5"/>
  <c r="I6" i="5"/>
  <c r="E6" i="5"/>
  <c r="D6" i="5"/>
  <c r="C6" i="5"/>
  <c r="J4" i="5"/>
  <c r="I4" i="5"/>
  <c r="E4" i="5"/>
  <c r="D4" i="5"/>
  <c r="C4" i="5"/>
  <c r="K3" i="5"/>
  <c r="J3" i="5"/>
  <c r="I3" i="5"/>
  <c r="H3" i="5"/>
  <c r="G3" i="5"/>
  <c r="E3" i="5"/>
  <c r="D3" i="5"/>
  <c r="C3" i="5"/>
  <c r="B3" i="5"/>
  <c r="E3" i="4"/>
  <c r="L1" i="5"/>
  <c r="N6" i="5" l="1"/>
  <c r="M7" i="5" s="1"/>
  <c r="N4" i="5"/>
  <c r="B12" i="5"/>
  <c r="N8" i="5"/>
  <c r="B14" i="5"/>
  <c r="B16" i="5"/>
  <c r="C4" i="3"/>
  <c r="B9" i="5" l="1"/>
  <c r="M9" i="5"/>
  <c r="B13" i="5"/>
  <c r="B5" i="5"/>
  <c r="M5" i="5"/>
  <c r="L5" i="5"/>
  <c r="L9" i="5"/>
  <c r="F9" i="5"/>
  <c r="B17" i="5"/>
  <c r="K9" i="5"/>
  <c r="J9" i="5"/>
  <c r="I9" i="5"/>
  <c r="G9" i="5"/>
  <c r="E9" i="5"/>
  <c r="C9" i="5"/>
  <c r="B11" i="5"/>
  <c r="Q33" i="3"/>
  <c r="N33" i="3"/>
  <c r="M33" i="3"/>
  <c r="L33" i="3"/>
  <c r="H33" i="3"/>
  <c r="G33" i="3"/>
  <c r="F33" i="3"/>
  <c r="E33" i="3"/>
  <c r="D33" i="3"/>
  <c r="C33" i="3"/>
  <c r="AR29" i="3"/>
  <c r="AO29" i="3"/>
  <c r="AL29" i="3"/>
  <c r="AH29" i="3"/>
  <c r="AE29" i="3"/>
  <c r="AB29" i="3"/>
  <c r="AR19" i="3"/>
  <c r="AO19" i="3"/>
  <c r="AL19" i="3"/>
  <c r="AH19" i="3"/>
  <c r="AE19" i="3"/>
  <c r="AB19" i="3"/>
  <c r="T33" i="3" l="1"/>
  <c r="H7" i="5"/>
  <c r="H5" i="5"/>
  <c r="B7" i="5" l="1"/>
  <c r="F7" i="5"/>
  <c r="G5" i="5"/>
  <c r="F5" i="5"/>
  <c r="E5" i="5"/>
  <c r="D7" i="5"/>
  <c r="I7" i="5"/>
  <c r="E7" i="5"/>
  <c r="G7" i="5"/>
  <c r="K7" i="5"/>
  <c r="C7" i="5"/>
  <c r="B15" i="5"/>
  <c r="L7" i="5"/>
  <c r="J7" i="5"/>
  <c r="I5" i="5"/>
  <c r="D5" i="5"/>
  <c r="C5" i="5"/>
  <c r="J5" i="5"/>
  <c r="K5" i="5"/>
</calcChain>
</file>

<file path=xl/sharedStrings.xml><?xml version="1.0" encoding="utf-8"?>
<sst xmlns="http://schemas.openxmlformats.org/spreadsheetml/2006/main" count="528" uniqueCount="289">
  <si>
    <t>給与</t>
    <rPh sb="0" eb="2">
      <t>キュウヨ</t>
    </rPh>
    <phoneticPr fontId="1"/>
  </si>
  <si>
    <t>賞与</t>
    <rPh sb="0" eb="2">
      <t>ショウヨ</t>
    </rPh>
    <phoneticPr fontId="1"/>
  </si>
  <si>
    <t>仕訳作成のためのデータ入力</t>
    <rPh sb="0" eb="2">
      <t>シワケ</t>
    </rPh>
    <rPh sb="2" eb="4">
      <t>サクセイ</t>
    </rPh>
    <rPh sb="11" eb="13">
      <t>ニュウリョク</t>
    </rPh>
    <phoneticPr fontId="6"/>
  </si>
  <si>
    <t>本部</t>
    <rPh sb="0" eb="2">
      <t>ホンブ</t>
    </rPh>
    <phoneticPr fontId="6"/>
  </si>
  <si>
    <t>役員</t>
    <rPh sb="0" eb="2">
      <t>ヤクイン</t>
    </rPh>
    <phoneticPr fontId="6"/>
  </si>
  <si>
    <t>貿易</t>
    <rPh sb="0" eb="2">
      <t>ボウエキ</t>
    </rPh>
    <phoneticPr fontId="6"/>
  </si>
  <si>
    <t>大阪</t>
    <rPh sb="0" eb="2">
      <t>オオサカ</t>
    </rPh>
    <phoneticPr fontId="6"/>
  </si>
  <si>
    <t>福岡</t>
    <rPh sb="0" eb="2">
      <t>フクオカ</t>
    </rPh>
    <phoneticPr fontId="6"/>
  </si>
  <si>
    <t>大阪加工</t>
    <rPh sb="0" eb="2">
      <t>オオサカ</t>
    </rPh>
    <rPh sb="2" eb="4">
      <t>カコウ</t>
    </rPh>
    <phoneticPr fontId="6"/>
  </si>
  <si>
    <t>東京</t>
    <rPh sb="0" eb="2">
      <t>トウキョウ</t>
    </rPh>
    <phoneticPr fontId="6"/>
  </si>
  <si>
    <t>東京加工</t>
    <rPh sb="0" eb="2">
      <t>トウキョウ</t>
    </rPh>
    <rPh sb="2" eb="4">
      <t>カコウ</t>
    </rPh>
    <phoneticPr fontId="6"/>
  </si>
  <si>
    <t>南関東</t>
    <rPh sb="0" eb="1">
      <t>ミナミ</t>
    </rPh>
    <rPh sb="1" eb="3">
      <t>カントウ</t>
    </rPh>
    <phoneticPr fontId="6"/>
  </si>
  <si>
    <t>合計</t>
    <rPh sb="0" eb="2">
      <t>ゴウケイ</t>
    </rPh>
    <phoneticPr fontId="6"/>
  </si>
  <si>
    <t>科目コード</t>
    <rPh sb="0" eb="2">
      <t>カモク</t>
    </rPh>
    <phoneticPr fontId="6"/>
  </si>
  <si>
    <t>補助コード</t>
    <rPh sb="0" eb="2">
      <t>ホジョ</t>
    </rPh>
    <phoneticPr fontId="6"/>
  </si>
  <si>
    <t>科目名</t>
    <rPh sb="0" eb="3">
      <t>カモクメイ</t>
    </rPh>
    <phoneticPr fontId="6"/>
  </si>
  <si>
    <t>補助科目名</t>
    <rPh sb="0" eb="2">
      <t>ホジョ</t>
    </rPh>
    <rPh sb="2" eb="4">
      <t>カモク</t>
    </rPh>
    <rPh sb="4" eb="5">
      <t>メイ</t>
    </rPh>
    <phoneticPr fontId="6"/>
  </si>
  <si>
    <t>支店の部門コード</t>
    <rPh sb="0" eb="2">
      <t>シテン</t>
    </rPh>
    <rPh sb="3" eb="5">
      <t>ブモン</t>
    </rPh>
    <phoneticPr fontId="6"/>
  </si>
  <si>
    <t>給与</t>
    <rPh sb="0" eb="2">
      <t>キュウヨ</t>
    </rPh>
    <phoneticPr fontId="6"/>
  </si>
  <si>
    <t>賞与</t>
    <rPh sb="0" eb="2">
      <t>ショウヨ</t>
    </rPh>
    <phoneticPr fontId="6"/>
  </si>
  <si>
    <t>貸付金個別明細</t>
    <rPh sb="0" eb="3">
      <t>カシツケキン</t>
    </rPh>
    <rPh sb="3" eb="5">
      <t>コベツ</t>
    </rPh>
    <rPh sb="5" eb="7">
      <t>メイサイ</t>
    </rPh>
    <phoneticPr fontId="6"/>
  </si>
  <si>
    <t>人数</t>
    <rPh sb="0" eb="2">
      <t>ニンズウ</t>
    </rPh>
    <phoneticPr fontId="6"/>
  </si>
  <si>
    <t>712</t>
    <phoneticPr fontId="6"/>
  </si>
  <si>
    <t>報酬給料</t>
    <rPh sb="0" eb="2">
      <t>ホウシュウ</t>
    </rPh>
    <rPh sb="2" eb="4">
      <t>キュウリョウ</t>
    </rPh>
    <phoneticPr fontId="6"/>
  </si>
  <si>
    <t>振込額①</t>
    <rPh sb="0" eb="3">
      <t>フリコミガク</t>
    </rPh>
    <phoneticPr fontId="6"/>
  </si>
  <si>
    <t>121</t>
    <phoneticPr fontId="6"/>
  </si>
  <si>
    <t>001</t>
    <phoneticPr fontId="6"/>
  </si>
  <si>
    <t>当座預金</t>
    <rPh sb="0" eb="2">
      <t>トウザ</t>
    </rPh>
    <rPh sb="2" eb="4">
      <t>ヨキン</t>
    </rPh>
    <phoneticPr fontId="6"/>
  </si>
  <si>
    <t>名前</t>
    <rPh sb="0" eb="2">
      <t>ナマエ</t>
    </rPh>
    <phoneticPr fontId="6"/>
  </si>
  <si>
    <t>金額</t>
    <rPh sb="0" eb="2">
      <t>キンガク</t>
    </rPh>
    <phoneticPr fontId="6"/>
  </si>
  <si>
    <t>振込額②</t>
    <rPh sb="0" eb="3">
      <t>フリコミガク</t>
    </rPh>
    <phoneticPr fontId="6"/>
  </si>
  <si>
    <t>121</t>
    <phoneticPr fontId="6"/>
  </si>
  <si>
    <t>004</t>
    <phoneticPr fontId="6"/>
  </si>
  <si>
    <t>みずほ</t>
    <phoneticPr fontId="6"/>
  </si>
  <si>
    <t>市橋　健</t>
    <rPh sb="0" eb="2">
      <t>イチハシ</t>
    </rPh>
    <rPh sb="3" eb="4">
      <t>ケン</t>
    </rPh>
    <phoneticPr fontId="6"/>
  </si>
  <si>
    <t>非課税交通費</t>
    <rPh sb="0" eb="3">
      <t>ヒカゼイ</t>
    </rPh>
    <rPh sb="3" eb="6">
      <t>コウツウヒ</t>
    </rPh>
    <phoneticPr fontId="6"/>
  </si>
  <si>
    <t>726</t>
    <phoneticPr fontId="6"/>
  </si>
  <si>
    <t>旅費交通費</t>
    <rPh sb="0" eb="2">
      <t>リョヒ</t>
    </rPh>
    <rPh sb="2" eb="5">
      <t>コウツウヒ</t>
    </rPh>
    <phoneticPr fontId="6"/>
  </si>
  <si>
    <t>健康保険料</t>
    <rPh sb="0" eb="2">
      <t>ケンコウ</t>
    </rPh>
    <rPh sb="2" eb="5">
      <t>ホケンリョウ</t>
    </rPh>
    <phoneticPr fontId="6"/>
  </si>
  <si>
    <t>326</t>
    <phoneticPr fontId="6"/>
  </si>
  <si>
    <t>703</t>
    <phoneticPr fontId="6"/>
  </si>
  <si>
    <t>預り金</t>
    <rPh sb="0" eb="1">
      <t>アズカ</t>
    </rPh>
    <rPh sb="2" eb="3">
      <t>キン</t>
    </rPh>
    <phoneticPr fontId="6"/>
  </si>
  <si>
    <t>介護保険料</t>
    <rPh sb="0" eb="2">
      <t>カイゴ</t>
    </rPh>
    <rPh sb="2" eb="5">
      <t>ホケンリョウ</t>
    </rPh>
    <phoneticPr fontId="6"/>
  </si>
  <si>
    <t>326</t>
  </si>
  <si>
    <t>厚生年金</t>
    <rPh sb="0" eb="2">
      <t>コウセイ</t>
    </rPh>
    <rPh sb="2" eb="4">
      <t>ネンキン</t>
    </rPh>
    <phoneticPr fontId="6"/>
  </si>
  <si>
    <t>704</t>
    <phoneticPr fontId="6"/>
  </si>
  <si>
    <t>705</t>
    <phoneticPr fontId="6"/>
  </si>
  <si>
    <t>雇用保険</t>
    <rPh sb="0" eb="2">
      <t>コヨウ</t>
    </rPh>
    <rPh sb="2" eb="4">
      <t>ホケン</t>
    </rPh>
    <phoneticPr fontId="6"/>
  </si>
  <si>
    <t>326</t>
    <phoneticPr fontId="6"/>
  </si>
  <si>
    <t>900</t>
    <phoneticPr fontId="6"/>
  </si>
  <si>
    <t>仮払金</t>
    <rPh sb="0" eb="2">
      <t>カリバラ</t>
    </rPh>
    <rPh sb="2" eb="3">
      <t>キン</t>
    </rPh>
    <phoneticPr fontId="6"/>
  </si>
  <si>
    <t>計</t>
    <rPh sb="0" eb="1">
      <t>ケイ</t>
    </rPh>
    <phoneticPr fontId="6"/>
  </si>
  <si>
    <t>源泉所得税</t>
    <rPh sb="0" eb="2">
      <t>ゲンセン</t>
    </rPh>
    <rPh sb="2" eb="5">
      <t>ショトクゼイ</t>
    </rPh>
    <phoneticPr fontId="6"/>
  </si>
  <si>
    <t>701</t>
    <phoneticPr fontId="6"/>
  </si>
  <si>
    <t>源泉所得税</t>
    <rPh sb="0" eb="2">
      <t>ゲンセン</t>
    </rPh>
    <rPh sb="2" eb="4">
      <t>ショトク</t>
    </rPh>
    <rPh sb="4" eb="5">
      <t>ゼイ</t>
    </rPh>
    <phoneticPr fontId="6"/>
  </si>
  <si>
    <t>特徴市民税</t>
    <rPh sb="0" eb="2">
      <t>トクチョウ</t>
    </rPh>
    <rPh sb="2" eb="5">
      <t>シミンゼイ</t>
    </rPh>
    <phoneticPr fontId="6"/>
  </si>
  <si>
    <t>702</t>
    <phoneticPr fontId="6"/>
  </si>
  <si>
    <t>仮払金個別明細</t>
    <rPh sb="0" eb="2">
      <t>カリバライ</t>
    </rPh>
    <rPh sb="2" eb="3">
      <t>キン</t>
    </rPh>
    <rPh sb="3" eb="5">
      <t>コベツ</t>
    </rPh>
    <rPh sb="5" eb="7">
      <t>メイサイ</t>
    </rPh>
    <phoneticPr fontId="6"/>
  </si>
  <si>
    <t>貸付金</t>
    <rPh sb="0" eb="3">
      <t>カシツケキン</t>
    </rPh>
    <phoneticPr fontId="6"/>
  </si>
  <si>
    <t>183</t>
    <phoneticPr fontId="6"/>
  </si>
  <si>
    <t>貸付金</t>
    <rPh sb="0" eb="2">
      <t>カシツケ</t>
    </rPh>
    <rPh sb="2" eb="3">
      <t>キン</t>
    </rPh>
    <phoneticPr fontId="6"/>
  </si>
  <si>
    <t>仮払金</t>
    <rPh sb="0" eb="3">
      <t>カリバライキン</t>
    </rPh>
    <phoneticPr fontId="6"/>
  </si>
  <si>
    <t>187</t>
    <phoneticPr fontId="6"/>
  </si>
  <si>
    <t>100</t>
    <phoneticPr fontId="6"/>
  </si>
  <si>
    <t>クック会</t>
    <rPh sb="3" eb="4">
      <t>カイ</t>
    </rPh>
    <phoneticPr fontId="6"/>
  </si>
  <si>
    <t>707</t>
    <phoneticPr fontId="6"/>
  </si>
  <si>
    <t>旅行積立金</t>
    <rPh sb="0" eb="2">
      <t>リョコウ</t>
    </rPh>
    <rPh sb="2" eb="5">
      <t>ツミタテキン</t>
    </rPh>
    <phoneticPr fontId="6"/>
  </si>
  <si>
    <t>708</t>
    <phoneticPr fontId="6"/>
  </si>
  <si>
    <t>社員旅行</t>
    <rPh sb="0" eb="2">
      <t>シャイン</t>
    </rPh>
    <rPh sb="2" eb="4">
      <t>リョコウ</t>
    </rPh>
    <phoneticPr fontId="6"/>
  </si>
  <si>
    <t>財形貯蓄</t>
    <rPh sb="0" eb="2">
      <t>ザイケイ</t>
    </rPh>
    <rPh sb="2" eb="4">
      <t>チョチク</t>
    </rPh>
    <phoneticPr fontId="6"/>
  </si>
  <si>
    <t>001</t>
    <phoneticPr fontId="6"/>
  </si>
  <si>
    <t>預金預り金</t>
    <rPh sb="0" eb="2">
      <t>ヨキン</t>
    </rPh>
    <rPh sb="2" eb="3">
      <t>アズカ</t>
    </rPh>
    <rPh sb="4" eb="5">
      <t>キン</t>
    </rPh>
    <phoneticPr fontId="6"/>
  </si>
  <si>
    <t>706</t>
    <phoneticPr fontId="6"/>
  </si>
  <si>
    <t>預金</t>
    <rPh sb="0" eb="2">
      <t>ヨキン</t>
    </rPh>
    <phoneticPr fontId="6"/>
  </si>
  <si>
    <t>貸付利息</t>
    <rPh sb="0" eb="2">
      <t>カシツケ</t>
    </rPh>
    <rPh sb="2" eb="4">
      <t>リソク</t>
    </rPh>
    <phoneticPr fontId="6"/>
  </si>
  <si>
    <t>食事代預り</t>
    <rPh sb="0" eb="3">
      <t>ショクジダイ</t>
    </rPh>
    <rPh sb="3" eb="4">
      <t>アズ</t>
    </rPh>
    <phoneticPr fontId="6"/>
  </si>
  <si>
    <t>709</t>
    <phoneticPr fontId="6"/>
  </si>
  <si>
    <t>その他</t>
    <rPh sb="2" eb="3">
      <t>タ</t>
    </rPh>
    <phoneticPr fontId="6"/>
  </si>
  <si>
    <t>その他控除</t>
    <rPh sb="2" eb="3">
      <t>タ</t>
    </rPh>
    <rPh sb="3" eb="5">
      <t>コウジョ</t>
    </rPh>
    <phoneticPr fontId="6"/>
  </si>
  <si>
    <t>709</t>
    <phoneticPr fontId="6"/>
  </si>
  <si>
    <t>雇用保険会社負担率</t>
    <rPh sb="0" eb="2">
      <t>コヨウ</t>
    </rPh>
    <rPh sb="2" eb="4">
      <t>ホケン</t>
    </rPh>
    <rPh sb="4" eb="6">
      <t>カイシャ</t>
    </rPh>
    <rPh sb="6" eb="9">
      <t>フタンリツ</t>
    </rPh>
    <phoneticPr fontId="6"/>
  </si>
  <si>
    <t>187</t>
    <phoneticPr fontId="6"/>
  </si>
  <si>
    <t>仮払い</t>
    <rPh sb="0" eb="2">
      <t>カリバラ</t>
    </rPh>
    <phoneticPr fontId="6"/>
  </si>
  <si>
    <t>雇用保険会社負担額</t>
    <rPh sb="8" eb="9">
      <t>ガク</t>
    </rPh>
    <phoneticPr fontId="6"/>
  </si>
  <si>
    <t>723</t>
    <phoneticPr fontId="6"/>
  </si>
  <si>
    <t>法定福利費</t>
    <rPh sb="0" eb="2">
      <t>ホウテイ</t>
    </rPh>
    <rPh sb="2" eb="4">
      <t>フクリ</t>
    </rPh>
    <rPh sb="4" eb="5">
      <t>ヒ</t>
    </rPh>
    <phoneticPr fontId="6"/>
  </si>
  <si>
    <t>振込料単価</t>
    <rPh sb="0" eb="2">
      <t>フリコミ</t>
    </rPh>
    <rPh sb="2" eb="3">
      <t>リョウ</t>
    </rPh>
    <rPh sb="3" eb="5">
      <t>タンカ</t>
    </rPh>
    <phoneticPr fontId="6"/>
  </si>
  <si>
    <t>消費税</t>
    <rPh sb="0" eb="3">
      <t>ショウヒゼイ</t>
    </rPh>
    <phoneticPr fontId="6"/>
  </si>
  <si>
    <t>振込料振替額</t>
    <rPh sb="0" eb="2">
      <t>フリコミ</t>
    </rPh>
    <rPh sb="2" eb="3">
      <t>リョウ</t>
    </rPh>
    <rPh sb="3" eb="5">
      <t>フリカエ</t>
    </rPh>
    <rPh sb="5" eb="6">
      <t>ガク</t>
    </rPh>
    <phoneticPr fontId="6"/>
  </si>
  <si>
    <t>741</t>
    <phoneticPr fontId="6"/>
  </si>
  <si>
    <t>諸手数料</t>
    <rPh sb="0" eb="1">
      <t>ショ</t>
    </rPh>
    <rPh sb="1" eb="4">
      <t>テスウリョウ</t>
    </rPh>
    <phoneticPr fontId="6"/>
  </si>
  <si>
    <t>雇用保険対象支給額</t>
    <rPh sb="0" eb="2">
      <t>コヨウ</t>
    </rPh>
    <rPh sb="2" eb="4">
      <t>ホケン</t>
    </rPh>
    <rPh sb="4" eb="6">
      <t>タイショウ</t>
    </rPh>
    <rPh sb="6" eb="9">
      <t>シキュウガク</t>
    </rPh>
    <phoneticPr fontId="6"/>
  </si>
  <si>
    <t>↑(役員を除く総支給額)</t>
    <rPh sb="2" eb="4">
      <t>ヤクイン</t>
    </rPh>
    <rPh sb="5" eb="6">
      <t>ノゾ</t>
    </rPh>
    <rPh sb="7" eb="8">
      <t>ソウ</t>
    </rPh>
    <rPh sb="8" eb="11">
      <t>シキュウガク</t>
    </rPh>
    <phoneticPr fontId="6"/>
  </si>
  <si>
    <t>*勘定科目名・補助科目名が変わった場合は直接修正する</t>
    <rPh sb="1" eb="3">
      <t>カンジョウ</t>
    </rPh>
    <rPh sb="3" eb="5">
      <t>カモク</t>
    </rPh>
    <rPh sb="5" eb="6">
      <t>メイ</t>
    </rPh>
    <rPh sb="7" eb="9">
      <t>ホジョ</t>
    </rPh>
    <rPh sb="9" eb="11">
      <t>カモク</t>
    </rPh>
    <rPh sb="11" eb="12">
      <t>メイ</t>
    </rPh>
    <rPh sb="13" eb="14">
      <t>カ</t>
    </rPh>
    <rPh sb="17" eb="19">
      <t>バアイ</t>
    </rPh>
    <rPh sb="20" eb="22">
      <t>チョクセツ</t>
    </rPh>
    <rPh sb="22" eb="24">
      <t>シュウセイ</t>
    </rPh>
    <phoneticPr fontId="6"/>
  </si>
  <si>
    <t>*雇用保険会社負担率は毎年４月頃に来る労働保険料申告書を基に変更する事！</t>
    <rPh sb="1" eb="3">
      <t>コヨウ</t>
    </rPh>
    <rPh sb="3" eb="5">
      <t>ホケン</t>
    </rPh>
    <rPh sb="5" eb="7">
      <t>カイシャ</t>
    </rPh>
    <rPh sb="7" eb="9">
      <t>フタン</t>
    </rPh>
    <rPh sb="9" eb="10">
      <t>リツ</t>
    </rPh>
    <rPh sb="11" eb="13">
      <t>マイトシ</t>
    </rPh>
    <rPh sb="14" eb="15">
      <t>ガツ</t>
    </rPh>
    <rPh sb="15" eb="16">
      <t>ゴロ</t>
    </rPh>
    <rPh sb="17" eb="18">
      <t>ク</t>
    </rPh>
    <rPh sb="19" eb="21">
      <t>ロウドウ</t>
    </rPh>
    <rPh sb="21" eb="23">
      <t>ホケン</t>
    </rPh>
    <rPh sb="23" eb="24">
      <t>リョウ</t>
    </rPh>
    <rPh sb="24" eb="27">
      <t>シンコクショ</t>
    </rPh>
    <rPh sb="28" eb="29">
      <t>モト</t>
    </rPh>
    <rPh sb="30" eb="32">
      <t>ヘンコウ</t>
    </rPh>
    <rPh sb="34" eb="35">
      <t>コト</t>
    </rPh>
    <phoneticPr fontId="6"/>
  </si>
  <si>
    <t>承認印</t>
  </si>
  <si>
    <t>会計印</t>
  </si>
  <si>
    <t>係　　印</t>
  </si>
  <si>
    <t>　</t>
  </si>
  <si>
    <t>No.</t>
    <phoneticPr fontId="16"/>
  </si>
  <si>
    <t>借　　方</t>
    <rPh sb="0" eb="1">
      <t>シャク</t>
    </rPh>
    <rPh sb="3" eb="4">
      <t>カタ</t>
    </rPh>
    <phoneticPr fontId="16"/>
  </si>
  <si>
    <t>税/部門</t>
    <rPh sb="0" eb="1">
      <t>ゼイ</t>
    </rPh>
    <rPh sb="2" eb="4">
      <t>ブモン</t>
    </rPh>
    <phoneticPr fontId="16"/>
  </si>
  <si>
    <t>摘　　要</t>
    <phoneticPr fontId="16"/>
  </si>
  <si>
    <t>金　　額</t>
    <phoneticPr fontId="16"/>
  </si>
  <si>
    <t>貸　　方</t>
    <rPh sb="0" eb="1">
      <t>カシ</t>
    </rPh>
    <rPh sb="3" eb="4">
      <t>カタ</t>
    </rPh>
    <phoneticPr fontId="16"/>
  </si>
  <si>
    <t>00</t>
  </si>
  <si>
    <t>723</t>
  </si>
  <si>
    <t>法定福利費</t>
  </si>
  <si>
    <t>P0</t>
  </si>
  <si>
    <t>900</t>
  </si>
  <si>
    <t/>
  </si>
  <si>
    <t>社会保険料　振替表</t>
    <rPh sb="0" eb="2">
      <t>シャカイ</t>
    </rPh>
    <rPh sb="2" eb="5">
      <t>ホケンリョウ</t>
    </rPh>
    <rPh sb="6" eb="8">
      <t>フリカエ</t>
    </rPh>
    <rPh sb="8" eb="9">
      <t>ヒョウ</t>
    </rPh>
    <phoneticPr fontId="6"/>
  </si>
  <si>
    <t>健保+介護</t>
    <rPh sb="0" eb="2">
      <t>ケンポ</t>
    </rPh>
    <rPh sb="3" eb="5">
      <t>カイゴ</t>
    </rPh>
    <phoneticPr fontId="6"/>
  </si>
  <si>
    <t>福岡加工</t>
    <rPh sb="0" eb="2">
      <t>フクオカ</t>
    </rPh>
    <rPh sb="2" eb="4">
      <t>カコウ</t>
    </rPh>
    <phoneticPr fontId="1"/>
  </si>
  <si>
    <t>南関東加工</t>
    <rPh sb="0" eb="1">
      <t>ミナミ</t>
    </rPh>
    <rPh sb="1" eb="3">
      <t>カントウ</t>
    </rPh>
    <rPh sb="3" eb="5">
      <t>カコウ</t>
    </rPh>
    <phoneticPr fontId="1"/>
  </si>
  <si>
    <t>仙台</t>
    <rPh sb="0" eb="2">
      <t>センダイ</t>
    </rPh>
    <phoneticPr fontId="1"/>
  </si>
  <si>
    <t>仙台加工</t>
    <rPh sb="0" eb="2">
      <t>センダイ</t>
    </rPh>
    <rPh sb="2" eb="4">
      <t>カコウ</t>
    </rPh>
    <phoneticPr fontId="6"/>
  </si>
  <si>
    <t>183</t>
  </si>
  <si>
    <t>貸付金</t>
  </si>
  <si>
    <t>市橋　健</t>
  </si>
  <si>
    <t>確定拠出年金</t>
    <rPh sb="0" eb="2">
      <t>カクテイ</t>
    </rPh>
    <rPh sb="2" eb="4">
      <t>キョシュツ</t>
    </rPh>
    <rPh sb="4" eb="6">
      <t>ネンキン</t>
    </rPh>
    <phoneticPr fontId="6"/>
  </si>
  <si>
    <t>三菱UFJ</t>
    <rPh sb="0" eb="2">
      <t>ミツビシ</t>
    </rPh>
    <phoneticPr fontId="6"/>
  </si>
  <si>
    <t>東京振替</t>
    <phoneticPr fontId="16"/>
  </si>
  <si>
    <t>名古屋</t>
    <rPh sb="0" eb="3">
      <t>ナゴヤ</t>
    </rPh>
    <phoneticPr fontId="6"/>
  </si>
  <si>
    <t>名古屋加工</t>
    <rPh sb="0" eb="3">
      <t>ナゴヤ</t>
    </rPh>
    <rPh sb="3" eb="5">
      <t>カコウ</t>
    </rPh>
    <phoneticPr fontId="1"/>
  </si>
  <si>
    <t>鳥居 新一郎</t>
  </si>
  <si>
    <t>大阪加工</t>
    <rPh sb="0" eb="2">
      <t>オオサカ</t>
    </rPh>
    <rPh sb="2" eb="4">
      <t>カコウ</t>
    </rPh>
    <phoneticPr fontId="1"/>
  </si>
  <si>
    <t>鳥居 新一郎</t>
    <rPh sb="0" eb="2">
      <t>トリイ</t>
    </rPh>
    <rPh sb="3" eb="6">
      <t>シンイチロウ</t>
    </rPh>
    <phoneticPr fontId="1"/>
  </si>
  <si>
    <t>計</t>
    <rPh sb="0" eb="1">
      <t>ケイ</t>
    </rPh>
    <phoneticPr fontId="1"/>
  </si>
  <si>
    <t>709</t>
  </si>
  <si>
    <t>部門コード</t>
  </si>
  <si>
    <t>部課コード</t>
  </si>
  <si>
    <t>社員コード</t>
  </si>
  <si>
    <t>氏名</t>
  </si>
  <si>
    <t>支給1</t>
  </si>
  <si>
    <t>支給2</t>
  </si>
  <si>
    <t>支給3</t>
  </si>
  <si>
    <t>支給4</t>
  </si>
  <si>
    <t>支給5</t>
  </si>
  <si>
    <t>支給6</t>
  </si>
  <si>
    <t>支給7</t>
  </si>
  <si>
    <t>支給8</t>
  </si>
  <si>
    <t>支給9</t>
  </si>
  <si>
    <t>支給10</t>
  </si>
  <si>
    <t>支給11</t>
  </si>
  <si>
    <t>支給12</t>
  </si>
  <si>
    <t>課 税  合 計</t>
  </si>
  <si>
    <t>非課税 合 計</t>
  </si>
  <si>
    <t>総支給額合計</t>
  </si>
  <si>
    <t>健 康  保 険</t>
  </si>
  <si>
    <t>介 護  保 険</t>
  </si>
  <si>
    <t>厚 生  年 金</t>
  </si>
  <si>
    <t>雇 用  保 険</t>
  </si>
  <si>
    <t>社会保険合計</t>
  </si>
  <si>
    <t>所   得   税</t>
  </si>
  <si>
    <t>控除1</t>
  </si>
  <si>
    <t>控除2</t>
  </si>
  <si>
    <t>控除3</t>
  </si>
  <si>
    <t>控除4</t>
  </si>
  <si>
    <t>控除5</t>
  </si>
  <si>
    <t>控除6</t>
  </si>
  <si>
    <t>控除7</t>
  </si>
  <si>
    <t>控除8</t>
  </si>
  <si>
    <t>控除9</t>
  </si>
  <si>
    <t>控除10</t>
  </si>
  <si>
    <t>控除11</t>
  </si>
  <si>
    <t>控除12</t>
  </si>
  <si>
    <t>控除13</t>
  </si>
  <si>
    <t>控除14</t>
  </si>
  <si>
    <t>控除15</t>
  </si>
  <si>
    <t>控除16</t>
  </si>
  <si>
    <t>控 除  合 計</t>
  </si>
  <si>
    <t>差 引 支給額</t>
  </si>
  <si>
    <t>下田 康夫</t>
  </si>
  <si>
    <t>飯田 優子</t>
  </si>
  <si>
    <t>野田 祐助</t>
  </si>
  <si>
    <t>藤木 智大</t>
  </si>
  <si>
    <t>岡野 雅次</t>
  </si>
  <si>
    <t>衞藤 陽一</t>
  </si>
  <si>
    <t>森田 智之</t>
  </si>
  <si>
    <t>小野寺 宏規</t>
  </si>
  <si>
    <t>松井 哲也</t>
  </si>
  <si>
    <t>種田 柚花</t>
  </si>
  <si>
    <t>釜山 志保</t>
  </si>
  <si>
    <t>宗 正樹</t>
  </si>
  <si>
    <t>藤浦 正之</t>
  </si>
  <si>
    <t>竹内 正一</t>
  </si>
  <si>
    <t>久貝 容加</t>
  </si>
  <si>
    <t>神﨑 耕</t>
  </si>
  <si>
    <t>田中 泰広</t>
  </si>
  <si>
    <t>場谷 繁樹</t>
  </si>
  <si>
    <t>鎌苅 朋弥</t>
  </si>
  <si>
    <t>森本 秀昭</t>
  </si>
  <si>
    <t>三上 栄貴</t>
  </si>
  <si>
    <t>小林 裕平</t>
  </si>
  <si>
    <t>堤 義宣</t>
  </si>
  <si>
    <t>水田 さやか</t>
  </si>
  <si>
    <t>藤山 絵里香</t>
  </si>
  <si>
    <t>伊藤 誠基</t>
  </si>
  <si>
    <t>伊豆 善大</t>
  </si>
  <si>
    <t>矢野 郁也</t>
  </si>
  <si>
    <t>実倉 清光</t>
  </si>
  <si>
    <t>赤星 正輝</t>
  </si>
  <si>
    <t>梶原 美智子</t>
  </si>
  <si>
    <t>岡田 圭人</t>
  </si>
  <si>
    <t>柴田 真人</t>
  </si>
  <si>
    <t>金久保 誠</t>
  </si>
  <si>
    <t>斎藤 邦雄</t>
  </si>
  <si>
    <t>中西 俊介</t>
  </si>
  <si>
    <t>藤原 良太</t>
  </si>
  <si>
    <t>染田 明宏</t>
  </si>
  <si>
    <t>岩地 亮平</t>
  </si>
  <si>
    <t>増田 佳子</t>
  </si>
  <si>
    <t>大谷 耕平</t>
  </si>
  <si>
    <t>中村 美咲</t>
  </si>
  <si>
    <t>和泉 幸恵</t>
  </si>
  <si>
    <t>水谷 達</t>
  </si>
  <si>
    <t>因田 貴美</t>
  </si>
  <si>
    <t>宮澤 綾香</t>
  </si>
  <si>
    <t>市橋 健</t>
  </si>
  <si>
    <t>加藤 翔吾</t>
  </si>
  <si>
    <t>松尾 亮輝</t>
  </si>
  <si>
    <t>中村 祐也</t>
  </si>
  <si>
    <t>坂上 勇人</t>
  </si>
  <si>
    <t>高野 由美子</t>
  </si>
  <si>
    <t>佐々木 清隆</t>
  </si>
  <si>
    <t>米山 直樹</t>
  </si>
  <si>
    <t>伊丹 慎哉</t>
  </si>
  <si>
    <t>出口 俊也</t>
  </si>
  <si>
    <t>関 なぎさ</t>
  </si>
  <si>
    <t>大塚 厚輝</t>
  </si>
  <si>
    <t>霧生 麗弥</t>
  </si>
  <si>
    <t>下野 健太郎</t>
  </si>
  <si>
    <t>栗原 正祥</t>
  </si>
  <si>
    <t>田上 飛龍</t>
  </si>
  <si>
    <t>小山 実</t>
  </si>
  <si>
    <t>阿部 孝也</t>
  </si>
  <si>
    <t>木村 政信</t>
  </si>
  <si>
    <t>加藤 直子</t>
  </si>
  <si>
    <t>小野 治</t>
  </si>
  <si>
    <t>鈴木 正宏</t>
  </si>
  <si>
    <t>髙澤 徹</t>
  </si>
  <si>
    <t>鳥居 洋子</t>
  </si>
  <si>
    <t>森田 裕之</t>
  </si>
  <si>
    <t>卯野 京子</t>
  </si>
  <si>
    <t>山田 修司</t>
  </si>
  <si>
    <t>金沢 千尋</t>
  </si>
  <si>
    <t>北関東</t>
    <rPh sb="0" eb="1">
      <t>キタ</t>
    </rPh>
    <rPh sb="1" eb="3">
      <t>カントウ</t>
    </rPh>
    <phoneticPr fontId="1"/>
  </si>
  <si>
    <t>北関東加工</t>
    <rPh sb="0" eb="1">
      <t>キタ</t>
    </rPh>
    <rPh sb="1" eb="3">
      <t>カントウ</t>
    </rPh>
    <rPh sb="3" eb="5">
      <t>カコウ</t>
    </rPh>
    <phoneticPr fontId="1"/>
  </si>
  <si>
    <t>坂入 里沙</t>
  </si>
  <si>
    <t>北関東加工分計上</t>
  </si>
  <si>
    <t>雇用保険会社負担額 北関東加工分計上</t>
  </si>
  <si>
    <t>北原 千春</t>
  </si>
  <si>
    <t>柏瀬 敏子</t>
  </si>
  <si>
    <t>北関東</t>
    <rPh sb="0" eb="3">
      <t>キタカントウ</t>
    </rPh>
    <phoneticPr fontId="1"/>
  </si>
  <si>
    <t>藤川 大輔</t>
  </si>
  <si>
    <t>石川 富士</t>
  </si>
  <si>
    <t>土谷 義正</t>
  </si>
  <si>
    <t>貝吹 拓海</t>
  </si>
  <si>
    <t>預り金</t>
  </si>
  <si>
    <t>日浦 幸恵</t>
  </si>
  <si>
    <t>森山 剛</t>
  </si>
  <si>
    <t>田尻 耕平</t>
  </si>
  <si>
    <t>高橋 みどり</t>
  </si>
  <si>
    <t>賞   与   額</t>
  </si>
  <si>
    <t>厚生年金基金</t>
  </si>
  <si>
    <t>平澤 広太郎</t>
  </si>
  <si>
    <t>323</t>
  </si>
  <si>
    <t>未払賞与</t>
  </si>
  <si>
    <t>本部</t>
  </si>
  <si>
    <t>令和4年7月分夏季賞与</t>
  </si>
  <si>
    <t>雇用保険</t>
    <phoneticPr fontId="1"/>
  </si>
  <si>
    <t>601</t>
  </si>
  <si>
    <t>東京</t>
  </si>
  <si>
    <t>東京分計上</t>
  </si>
  <si>
    <t>雇用保険会社負担額 東京分計上</t>
  </si>
  <si>
    <t>東京加工分計上</t>
  </si>
  <si>
    <t>雇用保険会社負担額 東京加工分計上</t>
  </si>
  <si>
    <t>南関東分計上</t>
  </si>
  <si>
    <t>雇用保険会社負担額 南関東分計上</t>
  </si>
  <si>
    <t>南関東加工分計上</t>
  </si>
  <si>
    <t>雇用保険会社負担額 南関東加工分計上</t>
  </si>
  <si>
    <t>仙台分計上</t>
  </si>
  <si>
    <t>雇用保険会社負担額 仙台分計上</t>
  </si>
  <si>
    <t>仙台加工分計上</t>
  </si>
  <si>
    <t>雇用保険会社負担額 仙台加工分計上</t>
  </si>
  <si>
    <t>北関東分計上</t>
  </si>
  <si>
    <t>雇用保険会社負担額 北関東分計上</t>
  </si>
  <si>
    <t>市橋　健　貸付金計上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</si>
</sst>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¥&quot;#,##0_);\(&quot;¥&quot;#,##0\)"/>
    <numFmt numFmtId="177" formatCode="&quot;¥&quot;#,##0_);[Red]\(&quot;¥&quot;#,##0\)"/>
    <numFmt numFmtId="178" formatCode="&quot;¥&quot;#,##0.00_);\(&quot;¥&quot;#,##0.00\)"/>
    <numFmt numFmtId="179" formatCode="\(#,##0\);[Red]\(\-#,##0\)"/>
    <numFmt numFmtId="180" formatCode="0.0%"/>
  </numFmts>
  <fonts count="2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4"/>
      <color theme="4" tint="0.59999389629810485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12"/>
      <name val="ＭＳ Ｐ明朝"/>
      <family val="1"/>
      <charset val="128"/>
    </font>
    <font>
      <sz val="14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name val="ＭＳ Ｐ明朝"/>
      <family val="1"/>
      <charset val="128"/>
    </font>
    <font>
      <b/>
      <sz val="11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1"/>
      <color rgb="FF0000FF"/>
      <name val="ＭＳ Ｐ明朝"/>
      <family val="1"/>
      <charset val="128"/>
    </font>
    <font>
      <b/>
      <sz val="12"/>
      <color rgb="FFFF0000"/>
      <name val="ＭＳ Ｐ明朝"/>
      <family val="1"/>
      <charset val="128"/>
    </font>
    <font>
      <b/>
      <sz val="11"/>
      <color rgb="FF008000"/>
      <name val="ＭＳ Ｐ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dashed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double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5" fillId="0" borderId="0"/>
    <xf numFmtId="177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13" fillId="0" borderId="0"/>
    <xf numFmtId="9" fontId="5" fillId="0" borderId="0" applyFont="0" applyFill="0" applyBorder="0" applyAlignment="0" applyProtection="0"/>
  </cellStyleXfs>
  <cellXfs count="248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2" borderId="1" xfId="0" applyNumberFormat="1" applyFill="1" applyBorder="1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49" fontId="0" fillId="3" borderId="1" xfId="0" applyNumberFormat="1" applyFill="1" applyBorder="1">
      <alignment vertical="center"/>
    </xf>
    <xf numFmtId="178" fontId="0" fillId="0" borderId="0" xfId="0" applyNumberFormat="1">
      <alignment vertical="center"/>
    </xf>
    <xf numFmtId="49" fontId="0" fillId="4" borderId="1" xfId="0" applyNumberFormat="1" applyFill="1" applyBorder="1">
      <alignment vertical="center"/>
    </xf>
    <xf numFmtId="38" fontId="0" fillId="0" borderId="0" xfId="1" applyFont="1">
      <alignment vertical="center"/>
    </xf>
    <xf numFmtId="0" fontId="5" fillId="0" borderId="0" xfId="2"/>
    <xf numFmtId="177" fontId="5" fillId="0" borderId="0" xfId="2" applyNumberFormat="1"/>
    <xf numFmtId="58" fontId="7" fillId="0" borderId="2" xfId="2" applyNumberFormat="1" applyFont="1" applyBorder="1" applyProtection="1">
      <protection locked="0"/>
    </xf>
    <xf numFmtId="0" fontId="7" fillId="0" borderId="0" xfId="2" applyFont="1" applyAlignment="1">
      <alignment horizontal="center"/>
    </xf>
    <xf numFmtId="0" fontId="8" fillId="0" borderId="0" xfId="2" applyFont="1"/>
    <xf numFmtId="0" fontId="5" fillId="0" borderId="3" xfId="2" applyBorder="1"/>
    <xf numFmtId="0" fontId="5" fillId="0" borderId="4" xfId="2" applyBorder="1" applyAlignment="1">
      <alignment horizontal="center" vertical="center"/>
    </xf>
    <xf numFmtId="0" fontId="5" fillId="0" borderId="5" xfId="2" applyBorder="1" applyAlignment="1">
      <alignment horizontal="center" vertical="center"/>
    </xf>
    <xf numFmtId="0" fontId="5" fillId="0" borderId="6" xfId="2" applyBorder="1" applyAlignment="1">
      <alignment horizontal="center" vertical="center"/>
    </xf>
    <xf numFmtId="0" fontId="5" fillId="0" borderId="7" xfId="2" applyBorder="1" applyAlignment="1">
      <alignment horizontal="center" vertical="center"/>
    </xf>
    <xf numFmtId="0" fontId="9" fillId="0" borderId="8" xfId="2" applyFont="1" applyBorder="1" applyAlignment="1">
      <alignment horizontal="center" vertical="center"/>
    </xf>
    <xf numFmtId="0" fontId="5" fillId="0" borderId="5" xfId="2" applyBorder="1" applyAlignment="1">
      <alignment horizontal="center" vertical="center" shrinkToFit="1"/>
    </xf>
    <xf numFmtId="0" fontId="5" fillId="0" borderId="9" xfId="2" applyBorder="1" applyAlignment="1">
      <alignment horizontal="center" vertical="center" shrinkToFit="1"/>
    </xf>
    <xf numFmtId="0" fontId="5" fillId="0" borderId="10" xfId="2" applyBorder="1" applyAlignment="1">
      <alignment horizontal="center" vertical="center" shrinkToFit="1"/>
    </xf>
    <xf numFmtId="0" fontId="5" fillId="0" borderId="11" xfId="2" applyBorder="1" applyAlignment="1">
      <alignment horizontal="center" vertical="center" shrinkToFit="1"/>
    </xf>
    <xf numFmtId="0" fontId="5" fillId="0" borderId="12" xfId="2" applyBorder="1" applyAlignment="1">
      <alignment horizontal="right"/>
    </xf>
    <xf numFmtId="0" fontId="5" fillId="0" borderId="13" xfId="2" applyBorder="1" applyAlignment="1" applyProtection="1">
      <alignment horizontal="center" vertical="center"/>
      <protection locked="0"/>
    </xf>
    <xf numFmtId="0" fontId="5" fillId="0" borderId="14" xfId="2" applyBorder="1" applyAlignment="1" applyProtection="1">
      <alignment horizontal="center" vertical="center"/>
      <protection locked="0"/>
    </xf>
    <xf numFmtId="0" fontId="5" fillId="0" borderId="15" xfId="2" applyBorder="1" applyAlignment="1" applyProtection="1">
      <alignment horizontal="center" vertical="center"/>
      <protection locked="0"/>
    </xf>
    <xf numFmtId="0" fontId="5" fillId="0" borderId="16" xfId="2" applyBorder="1" applyAlignment="1" applyProtection="1">
      <alignment horizontal="center" vertical="center"/>
      <protection locked="0"/>
    </xf>
    <xf numFmtId="0" fontId="9" fillId="0" borderId="17" xfId="2" applyFont="1" applyBorder="1" applyAlignment="1">
      <alignment horizontal="center" vertical="center"/>
    </xf>
    <xf numFmtId="49" fontId="5" fillId="0" borderId="14" xfId="2" applyNumberFormat="1" applyBorder="1" applyAlignment="1">
      <alignment horizontal="center" vertical="center" shrinkToFit="1"/>
    </xf>
    <xf numFmtId="49" fontId="5" fillId="0" borderId="18" xfId="2" applyNumberFormat="1" applyBorder="1" applyAlignment="1">
      <alignment horizontal="center" vertical="center" shrinkToFit="1"/>
    </xf>
    <xf numFmtId="0" fontId="10" fillId="0" borderId="19" xfId="2" applyFont="1" applyBorder="1"/>
    <xf numFmtId="0" fontId="10" fillId="0" borderId="20" xfId="2" applyFont="1" applyBorder="1"/>
    <xf numFmtId="0" fontId="5" fillId="0" borderId="21" xfId="2" applyBorder="1" applyAlignment="1">
      <alignment horizontal="right"/>
    </xf>
    <xf numFmtId="0" fontId="5" fillId="0" borderId="22" xfId="2" applyBorder="1" applyAlignment="1" applyProtection="1">
      <alignment horizontal="center" vertical="center"/>
      <protection locked="0"/>
    </xf>
    <xf numFmtId="0" fontId="5" fillId="0" borderId="23" xfId="2" applyBorder="1" applyAlignment="1" applyProtection="1">
      <alignment horizontal="center" vertical="center"/>
      <protection locked="0"/>
    </xf>
    <xf numFmtId="0" fontId="5" fillId="0" borderId="24" xfId="2" applyBorder="1" applyAlignment="1" applyProtection="1">
      <alignment horizontal="center" vertical="center"/>
      <protection locked="0"/>
    </xf>
    <xf numFmtId="0" fontId="5" fillId="0" borderId="25" xfId="2" applyBorder="1" applyAlignment="1" applyProtection="1">
      <alignment horizontal="center" vertical="center"/>
      <protection locked="0"/>
    </xf>
    <xf numFmtId="0" fontId="9" fillId="0" borderId="26" xfId="2" applyFont="1" applyBorder="1" applyAlignment="1">
      <alignment horizontal="center" vertical="center"/>
    </xf>
    <xf numFmtId="49" fontId="5" fillId="0" borderId="23" xfId="2" applyNumberFormat="1" applyBorder="1" applyAlignment="1">
      <alignment horizontal="center" vertical="center" shrinkToFit="1"/>
    </xf>
    <xf numFmtId="49" fontId="5" fillId="0" borderId="27" xfId="2" applyNumberFormat="1" applyBorder="1" applyAlignment="1">
      <alignment horizontal="center" vertical="center" shrinkToFit="1"/>
    </xf>
    <xf numFmtId="0" fontId="11" fillId="0" borderId="0" xfId="2" applyFont="1"/>
    <xf numFmtId="0" fontId="5" fillId="0" borderId="28" xfId="2" applyBorder="1" applyAlignment="1">
      <alignment horizontal="right"/>
    </xf>
    <xf numFmtId="0" fontId="5" fillId="0" borderId="29" xfId="2" applyBorder="1" applyAlignment="1" applyProtection="1">
      <alignment horizontal="center" vertical="center"/>
      <protection locked="0"/>
    </xf>
    <xf numFmtId="0" fontId="5" fillId="0" borderId="30" xfId="2" applyBorder="1" applyAlignment="1" applyProtection="1">
      <alignment horizontal="center" vertical="center"/>
      <protection locked="0"/>
    </xf>
    <xf numFmtId="0" fontId="5" fillId="0" borderId="31" xfId="2" applyBorder="1" applyAlignment="1" applyProtection="1">
      <alignment horizontal="center" vertical="center"/>
      <protection locked="0"/>
    </xf>
    <xf numFmtId="0" fontId="5" fillId="0" borderId="32" xfId="2" applyBorder="1" applyAlignment="1" applyProtection="1">
      <alignment horizontal="center" vertical="center"/>
      <protection locked="0"/>
    </xf>
    <xf numFmtId="0" fontId="9" fillId="0" borderId="33" xfId="2" applyFont="1" applyBorder="1" applyAlignment="1">
      <alignment horizontal="center" vertical="center"/>
    </xf>
    <xf numFmtId="49" fontId="5" fillId="0" borderId="30" xfId="2" applyNumberFormat="1" applyBorder="1" applyAlignment="1">
      <alignment horizontal="center" vertical="center" shrinkToFit="1"/>
    </xf>
    <xf numFmtId="49" fontId="5" fillId="0" borderId="34" xfId="2" applyNumberFormat="1" applyBorder="1" applyAlignment="1">
      <alignment horizontal="center" vertical="center" shrinkToFit="1"/>
    </xf>
    <xf numFmtId="0" fontId="10" fillId="0" borderId="35" xfId="2" applyFont="1" applyBorder="1"/>
    <xf numFmtId="0" fontId="10" fillId="0" borderId="36" xfId="2" applyFont="1" applyBorder="1"/>
    <xf numFmtId="0" fontId="5" fillId="0" borderId="37" xfId="2" applyBorder="1"/>
    <xf numFmtId="0" fontId="5" fillId="0" borderId="38" xfId="2" applyBorder="1" applyProtection="1">
      <protection locked="0"/>
    </xf>
    <xf numFmtId="0" fontId="5" fillId="0" borderId="39" xfId="2" applyBorder="1" applyProtection="1">
      <protection locked="0"/>
    </xf>
    <xf numFmtId="0" fontId="5" fillId="0" borderId="40" xfId="2" applyBorder="1" applyProtection="1">
      <protection locked="0"/>
    </xf>
    <xf numFmtId="0" fontId="5" fillId="0" borderId="41" xfId="2" applyBorder="1" applyProtection="1">
      <protection locked="0"/>
    </xf>
    <xf numFmtId="0" fontId="5" fillId="0" borderId="42" xfId="2" applyBorder="1"/>
    <xf numFmtId="49" fontId="11" fillId="0" borderId="39" xfId="2" applyNumberFormat="1" applyFont="1" applyBorder="1" applyAlignment="1">
      <alignment horizontal="center"/>
    </xf>
    <xf numFmtId="49" fontId="11" fillId="0" borderId="43" xfId="2" applyNumberFormat="1" applyFont="1" applyBorder="1" applyAlignment="1" applyProtection="1">
      <alignment horizontal="center"/>
      <protection locked="0"/>
    </xf>
    <xf numFmtId="0" fontId="10" fillId="0" borderId="44" xfId="2" applyFont="1" applyBorder="1"/>
    <xf numFmtId="0" fontId="10" fillId="0" borderId="45" xfId="2" applyFont="1" applyBorder="1"/>
    <xf numFmtId="0" fontId="5" fillId="0" borderId="46" xfId="2" applyBorder="1"/>
    <xf numFmtId="38" fontId="0" fillId="0" borderId="47" xfId="4" applyFont="1" applyBorder="1" applyProtection="1">
      <protection locked="0"/>
    </xf>
    <xf numFmtId="38" fontId="0" fillId="0" borderId="48" xfId="4" applyFont="1" applyBorder="1" applyProtection="1">
      <protection locked="0"/>
    </xf>
    <xf numFmtId="38" fontId="0" fillId="0" borderId="49" xfId="4" applyFont="1" applyBorder="1" applyProtection="1">
      <protection locked="0"/>
    </xf>
    <xf numFmtId="38" fontId="0" fillId="0" borderId="50" xfId="4" applyFont="1" applyBorder="1" applyProtection="1">
      <protection locked="0"/>
    </xf>
    <xf numFmtId="38" fontId="0" fillId="0" borderId="51" xfId="4" applyFont="1" applyBorder="1"/>
    <xf numFmtId="49" fontId="11" fillId="0" borderId="48" xfId="4" applyNumberFormat="1" applyFont="1" applyBorder="1" applyAlignment="1" applyProtection="1">
      <alignment horizontal="center"/>
      <protection locked="0"/>
    </xf>
    <xf numFmtId="49" fontId="11" fillId="0" borderId="52" xfId="4" applyNumberFormat="1" applyFont="1" applyBorder="1" applyAlignment="1" applyProtection="1">
      <alignment horizontal="center"/>
      <protection locked="0"/>
    </xf>
    <xf numFmtId="0" fontId="5" fillId="0" borderId="53" xfId="2" applyBorder="1" applyAlignment="1">
      <alignment horizontal="left"/>
    </xf>
    <xf numFmtId="0" fontId="5" fillId="0" borderId="54" xfId="2" applyBorder="1" applyAlignment="1">
      <alignment horizontal="center"/>
    </xf>
    <xf numFmtId="0" fontId="5" fillId="0" borderId="55" xfId="2" applyBorder="1" applyAlignment="1">
      <alignment horizontal="center"/>
    </xf>
    <xf numFmtId="0" fontId="5" fillId="0" borderId="54" xfId="2" applyBorder="1" applyAlignment="1">
      <alignment horizontal="left"/>
    </xf>
    <xf numFmtId="0" fontId="5" fillId="0" borderId="56" xfId="2" applyBorder="1" applyAlignment="1">
      <alignment horizontal="center"/>
    </xf>
    <xf numFmtId="38" fontId="0" fillId="0" borderId="22" xfId="4" applyFont="1" applyBorder="1" applyProtection="1">
      <protection locked="0"/>
    </xf>
    <xf numFmtId="38" fontId="0" fillId="0" borderId="23" xfId="4" applyFont="1" applyBorder="1" applyProtection="1">
      <protection locked="0"/>
    </xf>
    <xf numFmtId="38" fontId="0" fillId="0" borderId="24" xfId="4" applyFont="1" applyBorder="1" applyProtection="1">
      <protection locked="0"/>
    </xf>
    <xf numFmtId="38" fontId="0" fillId="0" borderId="25" xfId="4" applyFont="1" applyBorder="1" applyProtection="1">
      <protection locked="0"/>
    </xf>
    <xf numFmtId="38" fontId="5" fillId="0" borderId="26" xfId="4" applyBorder="1"/>
    <xf numFmtId="49" fontId="11" fillId="0" borderId="23" xfId="4" applyNumberFormat="1" applyFont="1" applyBorder="1" applyAlignment="1" applyProtection="1">
      <alignment horizontal="center"/>
      <protection locked="0"/>
    </xf>
    <xf numFmtId="49" fontId="11" fillId="0" borderId="27" xfId="4" applyNumberFormat="1" applyFont="1" applyBorder="1" applyAlignment="1" applyProtection="1">
      <alignment horizontal="center"/>
      <protection locked="0"/>
    </xf>
    <xf numFmtId="0" fontId="5" fillId="0" borderId="57" xfId="2" applyBorder="1" applyAlignment="1" applyProtection="1">
      <alignment horizontal="center"/>
      <protection locked="0"/>
    </xf>
    <xf numFmtId="0" fontId="5" fillId="0" borderId="58" xfId="2" applyBorder="1" applyAlignment="1" applyProtection="1">
      <alignment horizontal="center"/>
      <protection locked="0"/>
    </xf>
    <xf numFmtId="38" fontId="0" fillId="0" borderId="59" xfId="4" applyFont="1" applyBorder="1" applyProtection="1">
      <protection locked="0"/>
    </xf>
    <xf numFmtId="0" fontId="5" fillId="0" borderId="60" xfId="2" applyBorder="1" applyAlignment="1" applyProtection="1">
      <alignment horizontal="center"/>
      <protection locked="0"/>
    </xf>
    <xf numFmtId="38" fontId="0" fillId="0" borderId="61" xfId="4" applyFont="1" applyBorder="1" applyProtection="1">
      <protection locked="0"/>
    </xf>
    <xf numFmtId="0" fontId="5" fillId="0" borderId="62" xfId="2" applyBorder="1"/>
    <xf numFmtId="38" fontId="0" fillId="0" borderId="63" xfId="4" applyFont="1" applyBorder="1" applyProtection="1">
      <protection locked="0"/>
    </xf>
    <xf numFmtId="38" fontId="0" fillId="0" borderId="64" xfId="4" applyFont="1" applyBorder="1" applyProtection="1">
      <protection locked="0"/>
    </xf>
    <xf numFmtId="38" fontId="0" fillId="0" borderId="65" xfId="4" applyFont="1" applyBorder="1" applyProtection="1">
      <protection locked="0"/>
    </xf>
    <xf numFmtId="38" fontId="0" fillId="0" borderId="66" xfId="4" applyFont="1" applyBorder="1" applyProtection="1">
      <protection locked="0"/>
    </xf>
    <xf numFmtId="38" fontId="0" fillId="0" borderId="67" xfId="4" applyFont="1" applyBorder="1"/>
    <xf numFmtId="49" fontId="11" fillId="0" borderId="64" xfId="4" applyNumberFormat="1" applyFont="1" applyBorder="1" applyAlignment="1" applyProtection="1">
      <alignment horizontal="center"/>
      <protection locked="0"/>
    </xf>
    <xf numFmtId="49" fontId="11" fillId="0" borderId="68" xfId="4" applyNumberFormat="1" applyFont="1" applyBorder="1" applyAlignment="1" applyProtection="1">
      <alignment horizontal="center"/>
      <protection locked="0"/>
    </xf>
    <xf numFmtId="0" fontId="10" fillId="0" borderId="69" xfId="2" applyFont="1" applyBorder="1"/>
    <xf numFmtId="0" fontId="10" fillId="0" borderId="70" xfId="2" applyFont="1" applyBorder="1"/>
    <xf numFmtId="0" fontId="5" fillId="0" borderId="71" xfId="2" applyBorder="1" applyAlignment="1" applyProtection="1">
      <alignment horizontal="center"/>
      <protection locked="0"/>
    </xf>
    <xf numFmtId="0" fontId="5" fillId="0" borderId="72" xfId="2" applyBorder="1" applyAlignment="1" applyProtection="1">
      <alignment horizontal="center"/>
      <protection locked="0"/>
    </xf>
    <xf numFmtId="38" fontId="0" fillId="0" borderId="73" xfId="4" applyFont="1" applyBorder="1" applyProtection="1">
      <protection locked="0"/>
    </xf>
    <xf numFmtId="38" fontId="0" fillId="0" borderId="27" xfId="4" applyFont="1" applyBorder="1" applyProtection="1">
      <protection locked="0"/>
    </xf>
    <xf numFmtId="0" fontId="5" fillId="0" borderId="21" xfId="2" applyBorder="1"/>
    <xf numFmtId="38" fontId="0" fillId="0" borderId="26" xfId="4" applyFont="1" applyBorder="1"/>
    <xf numFmtId="0" fontId="5" fillId="0" borderId="74" xfId="2" applyBorder="1" applyAlignment="1" applyProtection="1">
      <alignment horizontal="center"/>
      <protection locked="0"/>
    </xf>
    <xf numFmtId="0" fontId="5" fillId="0" borderId="75" xfId="2" applyBorder="1" applyAlignment="1" applyProtection="1">
      <alignment horizontal="center"/>
      <protection locked="0"/>
    </xf>
    <xf numFmtId="38" fontId="0" fillId="0" borderId="76" xfId="4" applyFont="1" applyBorder="1" applyProtection="1">
      <protection locked="0"/>
    </xf>
    <xf numFmtId="38" fontId="0" fillId="0" borderId="34" xfId="4" applyFont="1" applyBorder="1" applyProtection="1">
      <protection locked="0"/>
    </xf>
    <xf numFmtId="0" fontId="5" fillId="0" borderId="77" xfId="2" applyBorder="1" applyAlignment="1" applyProtection="1">
      <alignment horizontal="center"/>
      <protection locked="0"/>
    </xf>
    <xf numFmtId="0" fontId="5" fillId="0" borderId="78" xfId="2" applyBorder="1" applyAlignment="1" applyProtection="1">
      <alignment horizontal="center"/>
      <protection locked="0"/>
    </xf>
    <xf numFmtId="38" fontId="0" fillId="0" borderId="79" xfId="4" applyFont="1" applyBorder="1" applyProtection="1">
      <protection locked="0"/>
    </xf>
    <xf numFmtId="38" fontId="0" fillId="0" borderId="80" xfId="4" applyFont="1" applyBorder="1" applyProtection="1">
      <protection locked="0"/>
    </xf>
    <xf numFmtId="38" fontId="0" fillId="0" borderId="22" xfId="4" applyFont="1" applyBorder="1"/>
    <xf numFmtId="38" fontId="0" fillId="0" borderId="23" xfId="4" applyFont="1" applyBorder="1"/>
    <xf numFmtId="38" fontId="0" fillId="0" borderId="24" xfId="4" applyFont="1" applyBorder="1"/>
    <xf numFmtId="38" fontId="0" fillId="0" borderId="25" xfId="4" applyFont="1" applyBorder="1"/>
    <xf numFmtId="0" fontId="5" fillId="0" borderId="0" xfId="2" applyAlignment="1">
      <alignment horizontal="center"/>
    </xf>
    <xf numFmtId="38" fontId="0" fillId="0" borderId="0" xfId="4" applyFont="1"/>
    <xf numFmtId="0" fontId="0" fillId="0" borderId="82" xfId="4" applyNumberFormat="1" applyFont="1" applyBorder="1" applyAlignment="1">
      <alignment horizontal="center"/>
    </xf>
    <xf numFmtId="0" fontId="0" fillId="0" borderId="83" xfId="4" applyNumberFormat="1" applyFont="1" applyBorder="1" applyAlignment="1">
      <alignment horizontal="center"/>
    </xf>
    <xf numFmtId="0" fontId="0" fillId="0" borderId="84" xfId="4" applyNumberFormat="1" applyFont="1" applyBorder="1" applyAlignment="1">
      <alignment horizontal="center"/>
    </xf>
    <xf numFmtId="38" fontId="0" fillId="0" borderId="85" xfId="4" applyFont="1" applyBorder="1"/>
    <xf numFmtId="49" fontId="11" fillId="0" borderId="86" xfId="4" applyNumberFormat="1" applyFont="1" applyBorder="1" applyAlignment="1" applyProtection="1">
      <alignment horizontal="center"/>
      <protection locked="0"/>
    </xf>
    <xf numFmtId="49" fontId="11" fillId="0" borderId="87" xfId="4" applyNumberFormat="1" applyFont="1" applyBorder="1" applyAlignment="1" applyProtection="1">
      <alignment horizontal="center"/>
      <protection locked="0"/>
    </xf>
    <xf numFmtId="0" fontId="5" fillId="0" borderId="89" xfId="2" applyBorder="1" applyAlignment="1">
      <alignment horizontal="center"/>
    </xf>
    <xf numFmtId="0" fontId="5" fillId="0" borderId="90" xfId="2" applyBorder="1" applyAlignment="1">
      <alignment horizontal="center"/>
    </xf>
    <xf numFmtId="0" fontId="5" fillId="0" borderId="91" xfId="2" applyBorder="1" applyAlignment="1">
      <alignment horizontal="center"/>
    </xf>
    <xf numFmtId="0" fontId="5" fillId="0" borderId="92" xfId="2" applyBorder="1"/>
    <xf numFmtId="49" fontId="11" fillId="0" borderId="93" xfId="2" applyNumberFormat="1" applyFont="1" applyBorder="1" applyAlignment="1" applyProtection="1">
      <alignment horizontal="center"/>
      <protection locked="0"/>
    </xf>
    <xf numFmtId="49" fontId="11" fillId="0" borderId="94" xfId="2" applyNumberFormat="1" applyFont="1" applyBorder="1" applyAlignment="1" applyProtection="1">
      <alignment horizontal="center"/>
      <protection locked="0"/>
    </xf>
    <xf numFmtId="0" fontId="5" fillId="0" borderId="95" xfId="2" applyBorder="1"/>
    <xf numFmtId="38" fontId="0" fillId="0" borderId="96" xfId="4" applyFont="1" applyBorder="1"/>
    <xf numFmtId="38" fontId="0" fillId="0" borderId="97" xfId="4" applyFont="1" applyBorder="1"/>
    <xf numFmtId="38" fontId="0" fillId="0" borderId="98" xfId="4" applyFont="1" applyBorder="1"/>
    <xf numFmtId="38" fontId="0" fillId="0" borderId="99" xfId="4" applyFont="1" applyBorder="1"/>
    <xf numFmtId="38" fontId="0" fillId="0" borderId="100" xfId="4" applyFont="1" applyBorder="1"/>
    <xf numFmtId="49" fontId="11" fillId="0" borderId="97" xfId="4" applyNumberFormat="1" applyFont="1" applyBorder="1" applyAlignment="1" applyProtection="1">
      <alignment horizontal="center"/>
      <protection locked="0"/>
    </xf>
    <xf numFmtId="49" fontId="11" fillId="0" borderId="101" xfId="4" applyNumberFormat="1" applyFont="1" applyBorder="1" applyAlignment="1" applyProtection="1">
      <alignment horizontal="center"/>
      <protection locked="0"/>
    </xf>
    <xf numFmtId="0" fontId="10" fillId="0" borderId="102" xfId="2" applyFont="1" applyBorder="1"/>
    <xf numFmtId="0" fontId="10" fillId="0" borderId="103" xfId="2" applyFont="1" applyBorder="1"/>
    <xf numFmtId="0" fontId="5" fillId="0" borderId="104" xfId="2" applyBorder="1"/>
    <xf numFmtId="176" fontId="0" fillId="0" borderId="105" xfId="4" applyNumberFormat="1" applyFont="1" applyBorder="1"/>
    <xf numFmtId="176" fontId="0" fillId="0" borderId="106" xfId="4" applyNumberFormat="1" applyFont="1" applyBorder="1"/>
    <xf numFmtId="176" fontId="0" fillId="0" borderId="107" xfId="4" applyNumberFormat="1" applyFont="1" applyBorder="1"/>
    <xf numFmtId="38" fontId="0" fillId="0" borderId="108" xfId="4" applyFont="1" applyBorder="1"/>
    <xf numFmtId="49" fontId="11" fillId="0" borderId="109" xfId="4" applyNumberFormat="1" applyFont="1" applyBorder="1" applyAlignment="1" applyProtection="1">
      <alignment horizontal="center"/>
      <protection locked="0"/>
    </xf>
    <xf numFmtId="49" fontId="11" fillId="0" borderId="110" xfId="4" applyNumberFormat="1" applyFont="1" applyBorder="1" applyAlignment="1" applyProtection="1">
      <alignment horizontal="center"/>
      <protection locked="0"/>
    </xf>
    <xf numFmtId="10" fontId="0" fillId="0" borderId="22" xfId="4" applyNumberFormat="1" applyFont="1" applyBorder="1"/>
    <xf numFmtId="10" fontId="0" fillId="0" borderId="24" xfId="4" applyNumberFormat="1" applyFont="1" applyBorder="1"/>
    <xf numFmtId="10" fontId="0" fillId="0" borderId="25" xfId="4" applyNumberFormat="1" applyFont="1" applyBorder="1"/>
    <xf numFmtId="0" fontId="5" fillId="0" borderId="111" xfId="2" applyBorder="1"/>
    <xf numFmtId="38" fontId="0" fillId="0" borderId="112" xfId="4" applyFont="1" applyBorder="1"/>
    <xf numFmtId="38" fontId="0" fillId="0" borderId="113" xfId="4" applyFont="1" applyBorder="1"/>
    <xf numFmtId="38" fontId="0" fillId="0" borderId="114" xfId="4" applyFont="1" applyBorder="1"/>
    <xf numFmtId="38" fontId="0" fillId="0" borderId="115" xfId="4" applyFont="1" applyBorder="1"/>
    <xf numFmtId="38" fontId="0" fillId="0" borderId="116" xfId="4" applyFont="1" applyBorder="1"/>
    <xf numFmtId="49" fontId="11" fillId="0" borderId="113" xfId="4" applyNumberFormat="1" applyFont="1" applyBorder="1" applyAlignment="1" applyProtection="1">
      <alignment horizontal="center"/>
      <protection locked="0"/>
    </xf>
    <xf numFmtId="49" fontId="11" fillId="0" borderId="80" xfId="4" applyNumberFormat="1" applyFont="1" applyBorder="1" applyAlignment="1" applyProtection="1">
      <alignment horizontal="center"/>
      <protection locked="0"/>
    </xf>
    <xf numFmtId="0" fontId="10" fillId="0" borderId="117" xfId="2" applyFont="1" applyBorder="1"/>
    <xf numFmtId="0" fontId="10" fillId="0" borderId="118" xfId="2" applyFont="1" applyBorder="1"/>
    <xf numFmtId="0" fontId="5" fillId="0" borderId="119" xfId="2" applyBorder="1"/>
    <xf numFmtId="38" fontId="0" fillId="0" borderId="120" xfId="4" applyFont="1" applyBorder="1" applyProtection="1">
      <protection locked="0"/>
    </xf>
    <xf numFmtId="38" fontId="0" fillId="0" borderId="121" xfId="4" applyFont="1" applyBorder="1" applyProtection="1">
      <protection locked="0"/>
    </xf>
    <xf numFmtId="38" fontId="0" fillId="0" borderId="122" xfId="4" applyFont="1" applyBorder="1" applyProtection="1">
      <protection locked="0"/>
    </xf>
    <xf numFmtId="38" fontId="0" fillId="0" borderId="123" xfId="4" applyFont="1" applyBorder="1"/>
    <xf numFmtId="0" fontId="5" fillId="0" borderId="120" xfId="2" applyBorder="1"/>
    <xf numFmtId="0" fontId="5" fillId="0" borderId="124" xfId="2" applyBorder="1"/>
    <xf numFmtId="0" fontId="10" fillId="0" borderId="125" xfId="2" applyFont="1" applyBorder="1"/>
    <xf numFmtId="0" fontId="10" fillId="0" borderId="126" xfId="2" applyFont="1" applyBorder="1"/>
    <xf numFmtId="0" fontId="5" fillId="0" borderId="127" xfId="2" applyBorder="1"/>
    <xf numFmtId="0" fontId="12" fillId="0" borderId="0" xfId="2" applyFont="1"/>
    <xf numFmtId="0" fontId="14" fillId="0" borderId="0" xfId="5" applyFont="1" applyAlignment="1">
      <alignment shrinkToFit="1"/>
    </xf>
    <xf numFmtId="49" fontId="14" fillId="0" borderId="0" xfId="5" applyNumberFormat="1" applyFont="1" applyAlignment="1">
      <alignment horizontal="center" vertical="center" shrinkToFit="1"/>
    </xf>
    <xf numFmtId="38" fontId="14" fillId="0" borderId="0" xfId="4" applyFont="1" applyAlignment="1">
      <alignment shrinkToFit="1"/>
    </xf>
    <xf numFmtId="49" fontId="14" fillId="0" borderId="0" xfId="5" applyNumberFormat="1" applyFont="1" applyAlignment="1">
      <alignment horizontal="center" shrinkToFit="1"/>
    </xf>
    <xf numFmtId="0" fontId="14" fillId="0" borderId="0" xfId="5" applyFont="1" applyAlignment="1">
      <alignment horizontal="center" shrinkToFit="1"/>
    </xf>
    <xf numFmtId="38" fontId="13" fillId="0" borderId="1" xfId="4" applyFont="1" applyBorder="1" applyAlignment="1">
      <alignment horizontal="center" shrinkToFit="1"/>
    </xf>
    <xf numFmtId="0" fontId="14" fillId="0" borderId="0" xfId="5" applyFont="1" applyAlignment="1">
      <alignment horizontal="right" shrinkToFit="1"/>
    </xf>
    <xf numFmtId="58" fontId="17" fillId="0" borderId="0" xfId="5" applyNumberFormat="1" applyFont="1" applyAlignment="1">
      <alignment horizontal="left" shrinkToFit="1"/>
    </xf>
    <xf numFmtId="38" fontId="14" fillId="0" borderId="85" xfId="4" applyFont="1" applyBorder="1" applyAlignment="1">
      <alignment shrinkToFit="1"/>
    </xf>
    <xf numFmtId="0" fontId="13" fillId="0" borderId="128" xfId="5" applyBorder="1" applyAlignment="1">
      <alignment horizontal="center" shrinkToFit="1"/>
    </xf>
    <xf numFmtId="49" fontId="13" fillId="0" borderId="130" xfId="5" applyNumberFormat="1" applyBorder="1" applyAlignment="1">
      <alignment shrinkToFit="1"/>
    </xf>
    <xf numFmtId="0" fontId="13" fillId="0" borderId="131" xfId="5" applyBorder="1" applyAlignment="1">
      <alignment horizontal="center" shrinkToFit="1"/>
    </xf>
    <xf numFmtId="38" fontId="13" fillId="0" borderId="132" xfId="4" applyFont="1" applyBorder="1" applyAlignment="1">
      <alignment horizontal="center" shrinkToFit="1"/>
    </xf>
    <xf numFmtId="49" fontId="13" fillId="0" borderId="1" xfId="5" applyNumberFormat="1" applyBorder="1" applyAlignment="1">
      <alignment shrinkToFit="1"/>
    </xf>
    <xf numFmtId="0" fontId="14" fillId="0" borderId="85" xfId="5" applyFont="1" applyBorder="1" applyAlignment="1">
      <alignment shrinkToFit="1"/>
    </xf>
    <xf numFmtId="49" fontId="14" fillId="0" borderId="85" xfId="5" applyNumberFormat="1" applyFont="1" applyBorder="1" applyAlignment="1">
      <alignment horizontal="center" shrinkToFit="1"/>
    </xf>
    <xf numFmtId="0" fontId="14" fillId="0" borderId="133" xfId="5" applyFont="1" applyBorder="1" applyAlignment="1">
      <alignment horizontal="center" shrinkToFit="1"/>
    </xf>
    <xf numFmtId="0" fontId="14" fillId="0" borderId="134" xfId="5" applyFont="1" applyBorder="1" applyAlignment="1">
      <alignment shrinkToFit="1"/>
    </xf>
    <xf numFmtId="0" fontId="14" fillId="0" borderId="136" xfId="5" applyFont="1" applyBorder="1" applyAlignment="1">
      <alignment horizontal="center" shrinkToFit="1"/>
    </xf>
    <xf numFmtId="0" fontId="14" fillId="0" borderId="92" xfId="5" applyFont="1" applyBorder="1" applyAlignment="1">
      <alignment shrinkToFit="1"/>
    </xf>
    <xf numFmtId="38" fontId="14" fillId="0" borderId="92" xfId="4" applyFont="1" applyBorder="1" applyAlignment="1">
      <alignment horizontal="center" shrinkToFit="1"/>
    </xf>
    <xf numFmtId="0" fontId="14" fillId="0" borderId="137" xfId="5" applyFont="1" applyBorder="1" applyAlignment="1">
      <alignment horizontal="center" shrinkToFit="1"/>
    </xf>
    <xf numFmtId="49" fontId="14" fillId="0" borderId="92" xfId="4" applyNumberFormat="1" applyFont="1" applyBorder="1" applyAlignment="1">
      <alignment horizontal="center" shrinkToFit="1"/>
    </xf>
    <xf numFmtId="0" fontId="14" fillId="0" borderId="138" xfId="5" applyFont="1" applyBorder="1" applyAlignment="1">
      <alignment shrinkToFit="1"/>
    </xf>
    <xf numFmtId="49" fontId="14" fillId="0" borderId="140" xfId="5" applyNumberFormat="1" applyFont="1" applyBorder="1" applyAlignment="1">
      <alignment horizontal="center" shrinkToFit="1"/>
    </xf>
    <xf numFmtId="0" fontId="14" fillId="0" borderId="140" xfId="5" applyFont="1" applyBorder="1" applyAlignment="1">
      <alignment horizontal="center" shrinkToFit="1"/>
    </xf>
    <xf numFmtId="0" fontId="14" fillId="0" borderId="141" xfId="5" applyFont="1" applyBorder="1" applyAlignment="1">
      <alignment shrinkToFit="1"/>
    </xf>
    <xf numFmtId="0" fontId="14" fillId="0" borderId="77" xfId="5" applyFont="1" applyBorder="1" applyAlignment="1">
      <alignment horizontal="center" shrinkToFit="1"/>
    </xf>
    <xf numFmtId="0" fontId="7" fillId="0" borderId="0" xfId="2" applyFont="1"/>
    <xf numFmtId="0" fontId="5" fillId="0" borderId="1" xfId="2" applyBorder="1" applyAlignment="1">
      <alignment horizontal="center"/>
    </xf>
    <xf numFmtId="0" fontId="5" fillId="0" borderId="85" xfId="2" applyBorder="1"/>
    <xf numFmtId="38" fontId="5" fillId="0" borderId="1" xfId="2" applyNumberFormat="1" applyBorder="1"/>
    <xf numFmtId="180" fontId="0" fillId="0" borderId="1" xfId="6" applyNumberFormat="1" applyFont="1" applyBorder="1"/>
    <xf numFmtId="0" fontId="5" fillId="0" borderId="1" xfId="2" applyBorder="1"/>
    <xf numFmtId="180" fontId="0" fillId="0" borderId="0" xfId="6" applyNumberFormat="1" applyFont="1"/>
    <xf numFmtId="14" fontId="0" fillId="0" borderId="0" xfId="0" applyNumberFormat="1">
      <alignment vertical="center"/>
    </xf>
    <xf numFmtId="179" fontId="14" fillId="0" borderId="139" xfId="4" applyNumberFormat="1" applyFont="1" applyBorder="1" applyAlignment="1">
      <alignment shrinkToFit="1"/>
    </xf>
    <xf numFmtId="179" fontId="14" fillId="0" borderId="142" xfId="4" applyNumberFormat="1" applyFont="1" applyBorder="1" applyAlignment="1">
      <alignment shrinkToFit="1"/>
    </xf>
    <xf numFmtId="177" fontId="0" fillId="0" borderId="0" xfId="3" applyFont="1" applyAlignment="1">
      <alignment shrinkToFit="1"/>
    </xf>
    <xf numFmtId="0" fontId="5" fillId="0" borderId="85" xfId="2" applyBorder="1" applyAlignment="1">
      <alignment horizontal="center" shrinkToFit="1"/>
    </xf>
    <xf numFmtId="0" fontId="14" fillId="0" borderId="140" xfId="5" applyFont="1" applyBorder="1" applyAlignment="1">
      <alignment horizontal="center" shrinkToFit="1"/>
    </xf>
    <xf numFmtId="0" fontId="14" fillId="0" borderId="136" xfId="5" applyFont="1" applyBorder="1" applyAlignment="1">
      <alignment horizontal="center" shrinkToFit="1"/>
    </xf>
    <xf numFmtId="0" fontId="14" fillId="0" borderId="100" xfId="5" applyFont="1" applyBorder="1" applyAlignment="1">
      <alignment shrinkToFit="1"/>
    </xf>
    <xf numFmtId="38" fontId="14" fillId="0" borderId="100" xfId="4" applyFont="1" applyBorder="1" applyAlignment="1">
      <alignment horizontal="center" shrinkToFit="1"/>
    </xf>
    <xf numFmtId="0" fontId="14" fillId="0" borderId="143" xfId="5" applyFont="1" applyBorder="1" applyAlignment="1">
      <alignment horizontal="center" shrinkToFit="1"/>
    </xf>
    <xf numFmtId="49" fontId="14" fillId="0" borderId="100" xfId="4" applyNumberFormat="1" applyFont="1" applyBorder="1" applyAlignment="1">
      <alignment horizontal="center" shrinkToFit="1"/>
    </xf>
    <xf numFmtId="0" fontId="14" fillId="0" borderId="144" xfId="5" applyFont="1" applyBorder="1" applyAlignment="1">
      <alignment shrinkToFit="1"/>
    </xf>
    <xf numFmtId="3" fontId="14" fillId="0" borderId="135" xfId="4" applyNumberFormat="1" applyFont="1" applyBorder="1" applyAlignment="1">
      <alignment shrinkToFit="1"/>
    </xf>
    <xf numFmtId="0" fontId="5" fillId="0" borderId="146" xfId="2" applyBorder="1" applyAlignment="1">
      <alignment horizontal="center" vertical="center"/>
    </xf>
    <xf numFmtId="0" fontId="5" fillId="0" borderId="147" xfId="2" applyBorder="1" applyAlignment="1" applyProtection="1">
      <alignment horizontal="center" vertical="center"/>
      <protection locked="0"/>
    </xf>
    <xf numFmtId="0" fontId="5" fillId="0" borderId="148" xfId="2" applyBorder="1" applyAlignment="1" applyProtection="1">
      <alignment horizontal="center" vertical="center"/>
      <protection locked="0"/>
    </xf>
    <xf numFmtId="0" fontId="5" fillId="0" borderId="149" xfId="2" applyBorder="1" applyAlignment="1" applyProtection="1">
      <alignment horizontal="center" vertical="center"/>
      <protection locked="0"/>
    </xf>
    <xf numFmtId="0" fontId="5" fillId="0" borderId="150" xfId="2" applyBorder="1" applyProtection="1">
      <protection locked="0"/>
    </xf>
    <xf numFmtId="38" fontId="0" fillId="0" borderId="151" xfId="4" applyFont="1" applyBorder="1" applyProtection="1">
      <protection locked="0"/>
    </xf>
    <xf numFmtId="38" fontId="0" fillId="0" borderId="148" xfId="4" applyFont="1" applyBorder="1" applyProtection="1">
      <protection locked="0"/>
    </xf>
    <xf numFmtId="38" fontId="0" fillId="0" borderId="152" xfId="4" applyFont="1" applyBorder="1" applyProtection="1">
      <protection locked="0"/>
    </xf>
    <xf numFmtId="38" fontId="0" fillId="0" borderId="148" xfId="4" applyFont="1" applyBorder="1"/>
    <xf numFmtId="0" fontId="0" fillId="0" borderId="153" xfId="4" applyNumberFormat="1" applyFont="1" applyBorder="1" applyAlignment="1">
      <alignment horizontal="center"/>
    </xf>
    <xf numFmtId="0" fontId="5" fillId="0" borderId="154" xfId="2" applyBorder="1" applyAlignment="1">
      <alignment horizontal="center"/>
    </xf>
    <xf numFmtId="38" fontId="0" fillId="0" borderId="155" xfId="4" applyFont="1" applyBorder="1"/>
    <xf numFmtId="176" fontId="0" fillId="0" borderId="156" xfId="4" applyNumberFormat="1" applyFont="1" applyBorder="1"/>
    <xf numFmtId="10" fontId="0" fillId="0" borderId="148" xfId="4" applyNumberFormat="1" applyFont="1" applyBorder="1"/>
    <xf numFmtId="38" fontId="0" fillId="0" borderId="157" xfId="4" applyFont="1" applyBorder="1"/>
    <xf numFmtId="38" fontId="0" fillId="0" borderId="145" xfId="4" applyFont="1" applyBorder="1" applyProtection="1">
      <protection locked="0"/>
    </xf>
    <xf numFmtId="0" fontId="5" fillId="0" borderId="81" xfId="2" applyBorder="1" applyAlignment="1">
      <alignment horizontal="left" vertical="center"/>
    </xf>
    <xf numFmtId="0" fontId="5" fillId="0" borderId="88" xfId="2" applyBorder="1" applyAlignment="1">
      <alignment horizontal="left" vertical="center"/>
    </xf>
    <xf numFmtId="0" fontId="14" fillId="0" borderId="133" xfId="5" applyFont="1" applyBorder="1" applyAlignment="1">
      <alignment horizontal="center" shrinkToFit="1"/>
    </xf>
    <xf numFmtId="0" fontId="14" fillId="0" borderId="136" xfId="5" applyFont="1" applyBorder="1" applyAlignment="1">
      <alignment horizontal="center" shrinkToFit="1"/>
    </xf>
    <xf numFmtId="0" fontId="14" fillId="0" borderId="137" xfId="5" applyFont="1" applyBorder="1" applyAlignment="1">
      <alignment horizontal="center" shrinkToFit="1"/>
    </xf>
    <xf numFmtId="0" fontId="14" fillId="0" borderId="140" xfId="5" applyFont="1" applyBorder="1" applyAlignment="1">
      <alignment horizontal="center" shrinkToFit="1"/>
    </xf>
    <xf numFmtId="0" fontId="15" fillId="0" borderId="128" xfId="5" applyFont="1" applyBorder="1" applyAlignment="1">
      <alignment horizontal="center" vertical="center" shrinkToFit="1"/>
    </xf>
    <xf numFmtId="0" fontId="15" fillId="0" borderId="129" xfId="5" applyFont="1" applyBorder="1" applyAlignment="1">
      <alignment horizontal="center" vertical="center" shrinkToFit="1"/>
    </xf>
    <xf numFmtId="0" fontId="13" fillId="0" borderId="1" xfId="5" applyBorder="1" applyAlignment="1">
      <alignment horizontal="center" shrinkToFit="1"/>
    </xf>
    <xf numFmtId="0" fontId="14" fillId="0" borderId="1" xfId="5" applyFont="1" applyBorder="1" applyAlignment="1">
      <alignment horizontal="center" shrinkToFit="1"/>
    </xf>
    <xf numFmtId="0" fontId="13" fillId="0" borderId="129" xfId="5" applyBorder="1" applyAlignment="1">
      <alignment horizontal="center" shrinkToFit="1"/>
    </xf>
    <xf numFmtId="58" fontId="5" fillId="0" borderId="0" xfId="2" applyNumberFormat="1" applyAlignment="1">
      <alignment horizontal="right"/>
    </xf>
  </cellXfs>
  <cellStyles count="7">
    <cellStyle name="パーセント 2" xfId="6" xr:uid="{00000000-0005-0000-0000-000000000000}"/>
    <cellStyle name="桁区切り" xfId="1" builtinId="6"/>
    <cellStyle name="桁区切り 2" xfId="4" xr:uid="{00000000-0005-0000-0000-000002000000}"/>
    <cellStyle name="通貨 2" xfId="3" xr:uid="{00000000-0005-0000-0000-000003000000}"/>
    <cellStyle name="標準" xfId="0" builtinId="0"/>
    <cellStyle name="標準 2" xfId="2" xr:uid="{00000000-0005-0000-0000-000005000000}"/>
    <cellStyle name="標準_支払明細" xfId="5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22" fmlaLink="$S$11" fmlaRange="$T$12:$T$13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0</xdr:rowOff>
        </xdr:from>
        <xdr:to>
          <xdr:col>5</xdr:col>
          <xdr:colOff>800100</xdr:colOff>
          <xdr:row>12</xdr:row>
          <xdr:rowOff>152400</xdr:rowOff>
        </xdr:to>
        <xdr:sp macro="" textlink="">
          <xdr:nvSpPr>
            <xdr:cNvPr id="1025" name="List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11</xdr:row>
          <xdr:rowOff>0</xdr:rowOff>
        </xdr:from>
        <xdr:to>
          <xdr:col>8</xdr:col>
          <xdr:colOff>19050</xdr:colOff>
          <xdr:row>12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取込み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57149</xdr:colOff>
      <xdr:row>5</xdr:row>
      <xdr:rowOff>91441</xdr:rowOff>
    </xdr:from>
    <xdr:ext cx="2657475" cy="388617"/>
    <xdr:sp macro="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0349" y="948691"/>
          <a:ext cx="2657475" cy="388617"/>
        </a:xfrm>
        <a:prstGeom prst="bevel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0">
          <a:spAutoFit/>
        </a:bodyPr>
        <a:lstStyle/>
        <a:p>
          <a:pPr algn="ctr"/>
          <a:r>
            <a:rPr kumimoji="1" lang="ja-JP" altLang="en-US" sz="1200">
              <a:solidFill>
                <a:schemeClr val="accent6">
                  <a:lumMod val="75000"/>
                </a:schemeClr>
              </a:solidFill>
              <a:latin typeface="HG丸ｺﾞｼｯｸM-PRO" panose="020F0600000000000000" pitchFamily="50" charset="-128"/>
              <a:ea typeface="HG丸ｺﾞｼｯｸM-PRO" panose="020F0600000000000000" pitchFamily="50" charset="-128"/>
            </a:rPr>
            <a:t>給与データ 取り込み　＆　仕訳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14</xdr:row>
          <xdr:rowOff>19050</xdr:rowOff>
        </xdr:from>
        <xdr:to>
          <xdr:col>8</xdr:col>
          <xdr:colOff>19050</xdr:colOff>
          <xdr:row>14</xdr:row>
          <xdr:rowOff>333375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仕訳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15</xdr:row>
          <xdr:rowOff>238125</xdr:rowOff>
        </xdr:from>
        <xdr:to>
          <xdr:col>8</xdr:col>
          <xdr:colOff>19050</xdr:colOff>
          <xdr:row>17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0</xdr:row>
          <xdr:rowOff>9525</xdr:rowOff>
        </xdr:from>
        <xdr:to>
          <xdr:col>2</xdr:col>
          <xdr:colOff>228600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ＭＳ Ｐ明朝"/>
                  <a:ea typeface="ＭＳ Ｐ明朝"/>
                </a:rPr>
                <a:t>仕訳印刷＆更新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0</xdr:row>
          <xdr:rowOff>19050</xdr:rowOff>
        </xdr:from>
        <xdr:to>
          <xdr:col>6</xdr:col>
          <xdr:colOff>171450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ＭＳ Ｐ明朝"/>
                  <a:ea typeface="ＭＳ Ｐ明朝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9525</xdr:rowOff>
        </xdr:from>
        <xdr:to>
          <xdr:col>4</xdr:col>
          <xdr:colOff>238125</xdr:colOff>
          <xdr:row>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00"/>
                  </a:solidFill>
                  <a:latin typeface="ＭＳ Ｐ明朝"/>
                  <a:ea typeface="ＭＳ Ｐ明朝"/>
                </a:rPr>
                <a:t>PCAデータより抽出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T16"/>
  <sheetViews>
    <sheetView showGridLines="0" showRowColHeaders="0" tabSelected="1" workbookViewId="0">
      <selection activeCell="J17" sqref="J17"/>
    </sheetView>
  </sheetViews>
  <sheetFormatPr defaultRowHeight="13.5" x14ac:dyDescent="0.15"/>
  <cols>
    <col min="5" max="5" width="3.5" customWidth="1"/>
    <col min="6" max="6" width="12.75" customWidth="1"/>
  </cols>
  <sheetData>
    <row r="4" spans="2:20" ht="14.25" x14ac:dyDescent="0.15">
      <c r="B4" s="207"/>
      <c r="C4" s="13"/>
    </row>
    <row r="11" spans="2:20" x14ac:dyDescent="0.15">
      <c r="S11" s="3">
        <v>2</v>
      </c>
      <c r="T11" s="3"/>
    </row>
    <row r="12" spans="2:20" x14ac:dyDescent="0.15">
      <c r="S12" s="3">
        <v>1</v>
      </c>
      <c r="T12" s="3" t="s">
        <v>0</v>
      </c>
    </row>
    <row r="13" spans="2:20" x14ac:dyDescent="0.15">
      <c r="S13" s="3">
        <v>2</v>
      </c>
      <c r="T13" s="3" t="s">
        <v>1</v>
      </c>
    </row>
    <row r="15" spans="2:20" ht="28.5" x14ac:dyDescent="0.15">
      <c r="D15" s="1"/>
      <c r="F15" s="2">
        <v>44736</v>
      </c>
    </row>
    <row r="16" spans="2:20" ht="28.5" x14ac:dyDescent="0.15">
      <c r="D16" s="1"/>
    </row>
  </sheetData>
  <phoneticPr fontId="1"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List Box 1">
              <controlPr defaultSize="0" autoLine="0" autoPict="0">
                <anchor moveWithCells="1">
                  <from>
                    <xdr:col>5</xdr:col>
                    <xdr:colOff>9525</xdr:colOff>
                    <xdr:row>11</xdr:row>
                    <xdr:rowOff>0</xdr:rowOff>
                  </from>
                  <to>
                    <xdr:col>5</xdr:col>
                    <xdr:colOff>800100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Proc_Get">
                <anchor moveWithCells="1" sizeWithCells="1">
                  <from>
                    <xdr:col>6</xdr:col>
                    <xdr:colOff>676275</xdr:colOff>
                    <xdr:row>11</xdr:row>
                    <xdr:rowOff>0</xdr:rowOff>
                  </from>
                  <to>
                    <xdr:col>8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o_Siwake">
                <anchor moveWithCells="1" sizeWithCells="1">
                  <from>
                    <xdr:col>6</xdr:col>
                    <xdr:colOff>676275</xdr:colOff>
                    <xdr:row>14</xdr:row>
                    <xdr:rowOff>19050</xdr:rowOff>
                  </from>
                  <to>
                    <xdr:col>8</xdr:col>
                    <xdr:colOff>19050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AP_END">
                <anchor moveWithCells="1" sizeWithCells="1">
                  <from>
                    <xdr:col>6</xdr:col>
                    <xdr:colOff>676275</xdr:colOff>
                    <xdr:row>15</xdr:row>
                    <xdr:rowOff>238125</xdr:rowOff>
                  </from>
                  <to>
                    <xdr:col>8</xdr:col>
                    <xdr:colOff>19050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B100"/>
  <sheetViews>
    <sheetView workbookViewId="0">
      <selection activeCell="AF77" sqref="AF77"/>
    </sheetView>
  </sheetViews>
  <sheetFormatPr defaultRowHeight="13.5" x14ac:dyDescent="0.15"/>
  <cols>
    <col min="1" max="3" width="9.875" bestFit="1" customWidth="1"/>
    <col min="4" max="4" width="11.625" bestFit="1" customWidth="1"/>
    <col min="5" max="5" width="11" bestFit="1" customWidth="1"/>
    <col min="29" max="43" width="9.125" bestFit="1" customWidth="1"/>
    <col min="44" max="44" width="9.25" bestFit="1" customWidth="1"/>
    <col min="45" max="45" width="10.25" bestFit="1" customWidth="1"/>
    <col min="54" max="54" width="12.375" bestFit="1" customWidth="1"/>
  </cols>
  <sheetData>
    <row r="1" spans="1:54" x14ac:dyDescent="0.15">
      <c r="A1" s="4"/>
      <c r="B1" s="4"/>
      <c r="C1" s="4"/>
      <c r="D1" s="8"/>
      <c r="E1" s="8">
        <v>1</v>
      </c>
      <c r="F1" s="4"/>
      <c r="G1" s="7"/>
      <c r="H1" s="4"/>
      <c r="I1" s="4"/>
      <c r="J1" s="7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4"/>
      <c r="AU1" s="4"/>
      <c r="AV1" s="4"/>
      <c r="AW1" s="4"/>
      <c r="AX1" s="4"/>
      <c r="AY1" s="4"/>
      <c r="AZ1" s="4"/>
      <c r="BA1" s="4"/>
      <c r="BB1" s="4"/>
    </row>
    <row r="2" spans="1:54" x14ac:dyDescent="0.15">
      <c r="A2" s="6" t="s">
        <v>130</v>
      </c>
      <c r="B2" s="6" t="s">
        <v>131</v>
      </c>
      <c r="C2" s="6" t="s">
        <v>132</v>
      </c>
      <c r="D2" s="6" t="s">
        <v>133</v>
      </c>
      <c r="E2" s="6" t="s">
        <v>264</v>
      </c>
      <c r="F2" s="6" t="s">
        <v>134</v>
      </c>
      <c r="G2" s="6" t="s">
        <v>135</v>
      </c>
      <c r="H2" s="6" t="s">
        <v>136</v>
      </c>
      <c r="I2" s="6" t="s">
        <v>137</v>
      </c>
      <c r="J2" s="6" t="s">
        <v>138</v>
      </c>
      <c r="K2" s="6" t="s">
        <v>139</v>
      </c>
      <c r="L2" s="6" t="s">
        <v>140</v>
      </c>
      <c r="M2" s="6" t="s">
        <v>141</v>
      </c>
      <c r="N2" s="6" t="s">
        <v>142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147</v>
      </c>
      <c r="T2" s="6" t="s">
        <v>148</v>
      </c>
      <c r="U2" s="6" t="s">
        <v>149</v>
      </c>
      <c r="V2" s="6" t="s">
        <v>150</v>
      </c>
      <c r="W2" s="6" t="s">
        <v>151</v>
      </c>
      <c r="X2" s="6" t="s">
        <v>265</v>
      </c>
      <c r="Y2" s="6" t="s">
        <v>152</v>
      </c>
      <c r="Z2" s="6" t="s">
        <v>153</v>
      </c>
      <c r="AA2" s="6" t="s">
        <v>154</v>
      </c>
      <c r="AB2" s="6" t="s">
        <v>155</v>
      </c>
      <c r="AC2" s="6" t="s">
        <v>156</v>
      </c>
      <c r="AD2" s="6" t="s">
        <v>157</v>
      </c>
      <c r="AE2" s="6" t="s">
        <v>158</v>
      </c>
      <c r="AF2" s="6" t="s">
        <v>159</v>
      </c>
      <c r="AG2" s="6" t="s">
        <v>160</v>
      </c>
      <c r="AH2" s="6" t="s">
        <v>161</v>
      </c>
      <c r="AI2" s="6" t="s">
        <v>162</v>
      </c>
      <c r="AJ2" s="6" t="s">
        <v>163</v>
      </c>
      <c r="AK2" s="6" t="s">
        <v>164</v>
      </c>
      <c r="AL2" s="6" t="s">
        <v>165</v>
      </c>
      <c r="AM2" s="6" t="s">
        <v>166</v>
      </c>
      <c r="AN2" s="6" t="s">
        <v>167</v>
      </c>
      <c r="AO2" s="6" t="s">
        <v>168</v>
      </c>
      <c r="AP2" s="6" t="s">
        <v>169</v>
      </c>
      <c r="AQ2" s="6" t="s">
        <v>170</v>
      </c>
      <c r="AR2" s="6" t="s">
        <v>171</v>
      </c>
      <c r="AS2" s="6" t="s">
        <v>172</v>
      </c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15">
      <c r="A3" s="5">
        <v>300</v>
      </c>
      <c r="B3" s="5">
        <v>10</v>
      </c>
      <c r="C3" s="5">
        <v>455</v>
      </c>
      <c r="D3" s="5" t="s">
        <v>210</v>
      </c>
      <c r="E3" s="5">
        <v>479500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479500</v>
      </c>
      <c r="S3" s="5">
        <v>0</v>
      </c>
      <c r="T3" s="5">
        <v>479500</v>
      </c>
      <c r="U3" s="5">
        <v>24908</v>
      </c>
      <c r="V3" s="5">
        <v>4071</v>
      </c>
      <c r="W3" s="5">
        <v>43828</v>
      </c>
      <c r="X3" s="5">
        <v>0</v>
      </c>
      <c r="Y3" s="5">
        <v>1438</v>
      </c>
      <c r="Z3" s="5">
        <v>74245</v>
      </c>
      <c r="AA3" s="5">
        <v>24825</v>
      </c>
      <c r="AB3" s="5">
        <v>0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J3" s="5">
        <v>0</v>
      </c>
      <c r="AK3" s="5">
        <v>0</v>
      </c>
      <c r="AL3" s="5">
        <v>0</v>
      </c>
      <c r="AM3" s="5">
        <v>0</v>
      </c>
      <c r="AN3" s="5">
        <v>0</v>
      </c>
      <c r="AO3" s="5">
        <v>0</v>
      </c>
      <c r="AP3" s="5">
        <v>0</v>
      </c>
      <c r="AQ3" s="5">
        <v>0</v>
      </c>
      <c r="AR3" s="5">
        <v>99070</v>
      </c>
      <c r="AS3" s="5">
        <v>380430</v>
      </c>
      <c r="AT3" s="5"/>
      <c r="AU3" s="5"/>
      <c r="AV3" s="5"/>
      <c r="AW3" s="5"/>
      <c r="AX3" s="5"/>
      <c r="AY3" s="5"/>
      <c r="AZ3" s="5"/>
      <c r="BA3" s="5"/>
      <c r="BB3" s="5"/>
    </row>
    <row r="4" spans="1:54" x14ac:dyDescent="0.15">
      <c r="A4" s="5">
        <v>200</v>
      </c>
      <c r="B4" s="5">
        <v>10</v>
      </c>
      <c r="C4" s="5">
        <v>470</v>
      </c>
      <c r="D4" s="5" t="s">
        <v>177</v>
      </c>
      <c r="E4" s="5">
        <v>594400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594400</v>
      </c>
      <c r="S4" s="5">
        <v>0</v>
      </c>
      <c r="T4" s="5">
        <v>594400</v>
      </c>
      <c r="U4" s="5">
        <v>30888</v>
      </c>
      <c r="V4" s="5">
        <v>5049</v>
      </c>
      <c r="W4" s="5">
        <v>54351</v>
      </c>
      <c r="X4" s="5">
        <v>0</v>
      </c>
      <c r="Y4" s="5">
        <v>1783</v>
      </c>
      <c r="Z4" s="5">
        <v>92071</v>
      </c>
      <c r="AA4" s="5">
        <v>30772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5">
        <v>0</v>
      </c>
      <c r="AM4" s="5">
        <v>0</v>
      </c>
      <c r="AN4" s="5">
        <v>0</v>
      </c>
      <c r="AO4" s="5">
        <v>0</v>
      </c>
      <c r="AP4" s="5">
        <v>0</v>
      </c>
      <c r="AQ4" s="5">
        <v>0</v>
      </c>
      <c r="AR4" s="5">
        <v>122843</v>
      </c>
      <c r="AS4" s="5">
        <v>471557</v>
      </c>
      <c r="AT4" s="5"/>
      <c r="AU4" s="5"/>
      <c r="AV4" s="5"/>
      <c r="AW4" s="5"/>
      <c r="AX4" s="5"/>
      <c r="AY4" s="5"/>
      <c r="AZ4" s="5"/>
      <c r="BA4" s="5"/>
      <c r="BB4" s="5"/>
    </row>
    <row r="5" spans="1:54" x14ac:dyDescent="0.15">
      <c r="A5" s="5">
        <v>400</v>
      </c>
      <c r="B5" s="5"/>
      <c r="C5" s="5">
        <v>472</v>
      </c>
      <c r="D5" s="5" t="s">
        <v>241</v>
      </c>
      <c r="E5" s="5">
        <v>1020000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1020000</v>
      </c>
      <c r="S5" s="5">
        <v>0</v>
      </c>
      <c r="T5" s="5">
        <v>1020000</v>
      </c>
      <c r="U5" s="5">
        <v>53040</v>
      </c>
      <c r="V5" s="5">
        <v>8670</v>
      </c>
      <c r="W5" s="5">
        <v>93330</v>
      </c>
      <c r="X5" s="5">
        <v>0</v>
      </c>
      <c r="Y5" s="5">
        <v>0</v>
      </c>
      <c r="Z5" s="5">
        <v>155040</v>
      </c>
      <c r="AA5" s="5">
        <v>141299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s="5">
        <v>0</v>
      </c>
      <c r="AN5" s="5">
        <v>0</v>
      </c>
      <c r="AO5" s="5">
        <v>0</v>
      </c>
      <c r="AP5" s="5">
        <v>0</v>
      </c>
      <c r="AQ5" s="5">
        <v>0</v>
      </c>
      <c r="AR5" s="5">
        <v>296339</v>
      </c>
      <c r="AS5" s="5">
        <v>723661</v>
      </c>
      <c r="AT5" s="5"/>
      <c r="AU5" s="5"/>
      <c r="AV5" s="5"/>
      <c r="AW5" s="5"/>
      <c r="AX5" s="5"/>
      <c r="AY5" s="5"/>
      <c r="AZ5" s="5"/>
      <c r="BA5" s="5"/>
      <c r="BB5" s="5"/>
    </row>
    <row r="6" spans="1:54" x14ac:dyDescent="0.15">
      <c r="A6" s="5">
        <v>200</v>
      </c>
      <c r="B6" s="5">
        <v>10</v>
      </c>
      <c r="C6" s="5">
        <v>489</v>
      </c>
      <c r="D6" s="5" t="s">
        <v>178</v>
      </c>
      <c r="E6" s="5">
        <v>705000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705000</v>
      </c>
      <c r="S6" s="5">
        <v>0</v>
      </c>
      <c r="T6" s="5">
        <v>705000</v>
      </c>
      <c r="U6" s="5">
        <v>36660</v>
      </c>
      <c r="V6" s="5">
        <v>5992</v>
      </c>
      <c r="W6" s="5">
        <v>64507</v>
      </c>
      <c r="X6" s="5">
        <v>0</v>
      </c>
      <c r="Y6" s="5">
        <v>2115</v>
      </c>
      <c r="Z6" s="5">
        <v>109274</v>
      </c>
      <c r="AA6" s="5">
        <v>36494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145768</v>
      </c>
      <c r="AS6" s="5">
        <v>559232</v>
      </c>
      <c r="AT6" s="5"/>
      <c r="AU6" s="5"/>
      <c r="AV6" s="5"/>
      <c r="AW6" s="5"/>
      <c r="AX6" s="5"/>
      <c r="AY6" s="5"/>
      <c r="AZ6" s="5"/>
      <c r="BA6" s="5"/>
      <c r="BB6" s="5"/>
    </row>
    <row r="7" spans="1:54" x14ac:dyDescent="0.15">
      <c r="A7" s="5">
        <v>400</v>
      </c>
      <c r="B7" s="5"/>
      <c r="C7" s="5">
        <v>490</v>
      </c>
      <c r="D7" s="5" t="s">
        <v>242</v>
      </c>
      <c r="E7" s="5">
        <v>1462000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1462000</v>
      </c>
      <c r="S7" s="5">
        <v>0</v>
      </c>
      <c r="T7" s="5">
        <v>1462000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447810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447810</v>
      </c>
      <c r="AS7" s="5">
        <v>1014190</v>
      </c>
      <c r="AT7" s="5"/>
      <c r="AU7" s="5"/>
      <c r="AV7" s="5"/>
      <c r="AW7" s="5"/>
      <c r="AX7" s="5"/>
      <c r="AY7" s="5"/>
      <c r="AZ7" s="5"/>
      <c r="BA7" s="5"/>
      <c r="BB7" s="5"/>
    </row>
    <row r="8" spans="1:54" x14ac:dyDescent="0.15">
      <c r="A8" s="5">
        <v>400</v>
      </c>
      <c r="B8" s="5"/>
      <c r="C8" s="5">
        <v>497</v>
      </c>
      <c r="D8" s="5" t="s">
        <v>243</v>
      </c>
      <c r="E8" s="5">
        <v>1190000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1190000</v>
      </c>
      <c r="S8" s="5">
        <v>0</v>
      </c>
      <c r="T8" s="5">
        <v>1190000</v>
      </c>
      <c r="U8" s="5">
        <v>61880</v>
      </c>
      <c r="V8" s="5">
        <v>10115</v>
      </c>
      <c r="W8" s="5">
        <v>108885</v>
      </c>
      <c r="X8" s="5">
        <v>0</v>
      </c>
      <c r="Y8" s="5">
        <v>0</v>
      </c>
      <c r="Z8" s="5">
        <v>180880</v>
      </c>
      <c r="AA8" s="5">
        <v>185456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366336</v>
      </c>
      <c r="AS8" s="5">
        <v>823664</v>
      </c>
      <c r="AT8" s="5"/>
      <c r="AU8" s="5"/>
      <c r="AV8" s="5"/>
      <c r="AW8" s="5"/>
      <c r="AX8" s="5"/>
      <c r="AY8" s="5"/>
      <c r="AZ8" s="5"/>
      <c r="BA8" s="5"/>
      <c r="BB8" s="5"/>
    </row>
    <row r="9" spans="1:54" x14ac:dyDescent="0.15">
      <c r="A9" s="5">
        <v>300</v>
      </c>
      <c r="B9" s="5">
        <v>10</v>
      </c>
      <c r="C9" s="5">
        <v>514</v>
      </c>
      <c r="D9" s="5" t="s">
        <v>224</v>
      </c>
      <c r="E9" s="5">
        <v>34000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34000</v>
      </c>
      <c r="S9" s="5">
        <v>0</v>
      </c>
      <c r="T9" s="5">
        <v>34000</v>
      </c>
      <c r="U9" s="5">
        <v>1768</v>
      </c>
      <c r="V9" s="5">
        <v>289</v>
      </c>
      <c r="W9" s="5">
        <v>3111</v>
      </c>
      <c r="X9" s="5">
        <v>0</v>
      </c>
      <c r="Y9" s="5">
        <v>102</v>
      </c>
      <c r="Z9" s="5">
        <v>5270</v>
      </c>
      <c r="AA9" s="5">
        <v>586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5856</v>
      </c>
      <c r="AS9" s="5">
        <v>28144</v>
      </c>
      <c r="AT9" s="5"/>
      <c r="AU9" s="5"/>
      <c r="AV9" s="5"/>
      <c r="AW9" s="5"/>
      <c r="AX9" s="5"/>
      <c r="AY9" s="5"/>
      <c r="AZ9" s="5"/>
      <c r="BA9" s="5"/>
      <c r="BB9" s="5"/>
    </row>
    <row r="10" spans="1:54" x14ac:dyDescent="0.15">
      <c r="A10" s="5">
        <v>200</v>
      </c>
      <c r="B10" s="5">
        <v>10</v>
      </c>
      <c r="C10" s="5">
        <v>516</v>
      </c>
      <c r="D10" s="5" t="s">
        <v>190</v>
      </c>
      <c r="E10" s="5">
        <v>467000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467000</v>
      </c>
      <c r="S10" s="5">
        <v>0</v>
      </c>
      <c r="T10" s="5">
        <v>467000</v>
      </c>
      <c r="U10" s="5">
        <v>24284</v>
      </c>
      <c r="V10" s="5">
        <v>3969</v>
      </c>
      <c r="W10" s="5">
        <v>42730</v>
      </c>
      <c r="X10" s="5">
        <v>0</v>
      </c>
      <c r="Y10" s="5">
        <v>1401</v>
      </c>
      <c r="Z10" s="5">
        <v>72384</v>
      </c>
      <c r="AA10" s="5">
        <v>16116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88500</v>
      </c>
      <c r="AS10" s="5">
        <v>378500</v>
      </c>
      <c r="AT10" s="5"/>
      <c r="AU10" s="5"/>
      <c r="AV10" s="5"/>
      <c r="AW10" s="5"/>
      <c r="AX10" s="5"/>
      <c r="AY10" s="5"/>
      <c r="AZ10" s="5"/>
      <c r="BA10" s="5"/>
      <c r="BB10" s="5"/>
    </row>
    <row r="11" spans="1:54" x14ac:dyDescent="0.15">
      <c r="A11" s="5">
        <v>100</v>
      </c>
      <c r="B11" s="5"/>
      <c r="C11" s="5">
        <v>519</v>
      </c>
      <c r="D11" s="5" t="s">
        <v>174</v>
      </c>
      <c r="E11" s="5">
        <v>502500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502500</v>
      </c>
      <c r="S11" s="5">
        <v>0</v>
      </c>
      <c r="T11" s="5">
        <v>502500</v>
      </c>
      <c r="U11" s="5">
        <v>26104</v>
      </c>
      <c r="V11" s="5">
        <v>4267</v>
      </c>
      <c r="W11" s="5">
        <v>45933</v>
      </c>
      <c r="X11" s="5">
        <v>0</v>
      </c>
      <c r="Y11" s="5">
        <v>1507</v>
      </c>
      <c r="Z11" s="5">
        <v>77811</v>
      </c>
      <c r="AA11" s="5">
        <v>26016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103827</v>
      </c>
      <c r="AS11" s="5">
        <v>398673</v>
      </c>
      <c r="AT11" s="5"/>
      <c r="AU11" s="5"/>
      <c r="AV11" s="5"/>
      <c r="AW11" s="5"/>
      <c r="AX11" s="5"/>
      <c r="AY11" s="5"/>
      <c r="AZ11" s="5"/>
      <c r="BA11" s="5"/>
      <c r="BB11" s="5"/>
    </row>
    <row r="12" spans="1:54" x14ac:dyDescent="0.15">
      <c r="A12" s="5">
        <v>400</v>
      </c>
      <c r="B12" s="5"/>
      <c r="C12" s="5">
        <v>526</v>
      </c>
      <c r="D12" s="5" t="s">
        <v>125</v>
      </c>
      <c r="E12" s="5">
        <v>1785000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1785000</v>
      </c>
      <c r="S12" s="5">
        <v>0</v>
      </c>
      <c r="T12" s="5">
        <v>1785000</v>
      </c>
      <c r="U12" s="5">
        <v>92820</v>
      </c>
      <c r="V12" s="5">
        <v>15172</v>
      </c>
      <c r="W12" s="5">
        <v>137250</v>
      </c>
      <c r="X12" s="5">
        <v>0</v>
      </c>
      <c r="Y12" s="5">
        <v>0</v>
      </c>
      <c r="Z12" s="5">
        <v>245242</v>
      </c>
      <c r="AA12" s="5">
        <v>471627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716869</v>
      </c>
      <c r="AS12" s="5">
        <v>1068131</v>
      </c>
      <c r="AT12" s="5"/>
      <c r="AU12" s="5"/>
      <c r="AV12" s="5"/>
      <c r="AW12" s="5"/>
      <c r="AX12" s="5"/>
      <c r="AY12" s="5"/>
      <c r="AZ12" s="5"/>
      <c r="BA12" s="5"/>
      <c r="BB12" s="5"/>
    </row>
    <row r="13" spans="1:54" x14ac:dyDescent="0.15">
      <c r="A13" s="5">
        <v>300</v>
      </c>
      <c r="B13" s="5">
        <v>10</v>
      </c>
      <c r="C13" s="5">
        <v>527</v>
      </c>
      <c r="D13" s="5" t="s">
        <v>207</v>
      </c>
      <c r="E13" s="5">
        <v>676300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676300</v>
      </c>
      <c r="S13" s="5">
        <v>0</v>
      </c>
      <c r="T13" s="5">
        <v>676300</v>
      </c>
      <c r="U13" s="5">
        <v>35152</v>
      </c>
      <c r="V13" s="5">
        <v>5746</v>
      </c>
      <c r="W13" s="5">
        <v>61854</v>
      </c>
      <c r="X13" s="5">
        <v>0</v>
      </c>
      <c r="Y13" s="5">
        <v>2029</v>
      </c>
      <c r="Z13" s="5">
        <v>104781</v>
      </c>
      <c r="AA13" s="5">
        <v>46681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151462</v>
      </c>
      <c r="AS13" s="5">
        <v>524838</v>
      </c>
      <c r="AT13" s="5"/>
      <c r="AU13" s="5"/>
      <c r="AV13" s="5"/>
      <c r="AW13" s="5"/>
      <c r="AX13" s="5"/>
      <c r="AY13" s="5"/>
      <c r="AZ13" s="5"/>
      <c r="BA13" s="5"/>
      <c r="BB13" s="5"/>
    </row>
    <row r="14" spans="1:54" x14ac:dyDescent="0.15">
      <c r="A14" s="5">
        <v>100</v>
      </c>
      <c r="B14" s="5"/>
      <c r="C14" s="5">
        <v>534</v>
      </c>
      <c r="D14" s="5" t="s">
        <v>173</v>
      </c>
      <c r="E14" s="5">
        <v>697000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697000</v>
      </c>
      <c r="S14" s="5">
        <v>0</v>
      </c>
      <c r="T14" s="5">
        <v>697000</v>
      </c>
      <c r="U14" s="5">
        <v>36244</v>
      </c>
      <c r="V14" s="5">
        <v>5924</v>
      </c>
      <c r="W14" s="5">
        <v>63775</v>
      </c>
      <c r="X14" s="5">
        <v>0</v>
      </c>
      <c r="Y14" s="5">
        <v>2091</v>
      </c>
      <c r="Z14" s="5">
        <v>108034</v>
      </c>
      <c r="AA14" s="5">
        <v>60133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168167</v>
      </c>
      <c r="AS14" s="5">
        <v>528833</v>
      </c>
      <c r="AT14" s="5"/>
      <c r="AU14" s="5"/>
      <c r="AV14" s="5"/>
      <c r="AW14" s="5"/>
      <c r="AX14" s="5"/>
      <c r="AY14" s="5"/>
      <c r="AZ14" s="5"/>
      <c r="BA14" s="5"/>
      <c r="BB14" s="5"/>
    </row>
    <row r="15" spans="1:54" x14ac:dyDescent="0.15">
      <c r="A15" s="5">
        <v>200</v>
      </c>
      <c r="B15" s="5">
        <v>10</v>
      </c>
      <c r="C15" s="5">
        <v>541</v>
      </c>
      <c r="D15" s="5" t="s">
        <v>188</v>
      </c>
      <c r="E15" s="5">
        <v>510000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510000</v>
      </c>
      <c r="S15" s="5">
        <v>0</v>
      </c>
      <c r="T15" s="5">
        <v>510000</v>
      </c>
      <c r="U15" s="5">
        <v>26520</v>
      </c>
      <c r="V15" s="5">
        <v>4335</v>
      </c>
      <c r="W15" s="5">
        <v>46665</v>
      </c>
      <c r="X15" s="5">
        <v>0</v>
      </c>
      <c r="Y15" s="5">
        <v>1530</v>
      </c>
      <c r="Z15" s="5">
        <v>79050</v>
      </c>
      <c r="AA15" s="5">
        <v>8799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87849</v>
      </c>
      <c r="AS15" s="5">
        <v>422151</v>
      </c>
      <c r="AT15" s="5"/>
      <c r="AU15" s="5"/>
      <c r="AV15" s="5"/>
      <c r="AW15" s="5"/>
      <c r="AX15" s="5"/>
      <c r="AY15" s="5"/>
      <c r="AZ15" s="5"/>
      <c r="BA15" s="5"/>
      <c r="BB15" s="5"/>
    </row>
    <row r="16" spans="1:54" x14ac:dyDescent="0.15">
      <c r="A16" s="5">
        <v>300</v>
      </c>
      <c r="B16" s="5">
        <v>10</v>
      </c>
      <c r="C16" s="5">
        <v>543</v>
      </c>
      <c r="D16" s="5" t="s">
        <v>208</v>
      </c>
      <c r="E16" s="5">
        <v>593100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593100</v>
      </c>
      <c r="S16" s="5">
        <v>0</v>
      </c>
      <c r="T16" s="5">
        <v>593100</v>
      </c>
      <c r="U16" s="5">
        <v>30836</v>
      </c>
      <c r="V16" s="5">
        <v>5040</v>
      </c>
      <c r="W16" s="5">
        <v>54259</v>
      </c>
      <c r="X16" s="5">
        <v>0</v>
      </c>
      <c r="Y16" s="5">
        <v>1779</v>
      </c>
      <c r="Z16" s="5">
        <v>91914</v>
      </c>
      <c r="AA16" s="5">
        <v>40936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132850</v>
      </c>
      <c r="AS16" s="5">
        <v>460250</v>
      </c>
      <c r="AT16" s="5"/>
      <c r="AU16" s="5"/>
      <c r="AV16" s="5"/>
      <c r="AW16" s="5"/>
      <c r="AX16" s="5"/>
      <c r="AY16" s="5"/>
      <c r="AZ16" s="5"/>
      <c r="BA16" s="5"/>
      <c r="BB16" s="5"/>
    </row>
    <row r="17" spans="1:54" x14ac:dyDescent="0.15">
      <c r="A17" s="5">
        <v>300</v>
      </c>
      <c r="B17" s="5">
        <v>10</v>
      </c>
      <c r="C17" s="5">
        <v>552</v>
      </c>
      <c r="D17" s="5" t="s">
        <v>219</v>
      </c>
      <c r="E17" s="5">
        <v>547800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547800</v>
      </c>
      <c r="S17" s="5">
        <v>0</v>
      </c>
      <c r="T17" s="5">
        <v>547800</v>
      </c>
      <c r="U17" s="5">
        <v>28444</v>
      </c>
      <c r="V17" s="5">
        <v>4649</v>
      </c>
      <c r="W17" s="5">
        <v>50050</v>
      </c>
      <c r="X17" s="5">
        <v>0</v>
      </c>
      <c r="Y17" s="5">
        <v>1643</v>
      </c>
      <c r="Z17" s="5">
        <v>84786</v>
      </c>
      <c r="AA17" s="5">
        <v>47273</v>
      </c>
      <c r="AB17" s="5">
        <v>20000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152059</v>
      </c>
      <c r="AS17" s="5">
        <v>395741</v>
      </c>
      <c r="AT17" s="5"/>
      <c r="AU17" s="5"/>
      <c r="AV17" s="5"/>
      <c r="AW17" s="5"/>
      <c r="AX17" s="5"/>
      <c r="AY17" s="5"/>
      <c r="AZ17" s="5"/>
      <c r="BA17" s="5"/>
      <c r="BB17" s="5"/>
    </row>
    <row r="18" spans="1:54" x14ac:dyDescent="0.15">
      <c r="A18" s="5">
        <v>300</v>
      </c>
      <c r="B18" s="5">
        <v>10</v>
      </c>
      <c r="C18" s="5">
        <v>553</v>
      </c>
      <c r="D18" s="5" t="s">
        <v>225</v>
      </c>
      <c r="E18" s="5">
        <v>24100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24100</v>
      </c>
      <c r="S18" s="5">
        <v>0</v>
      </c>
      <c r="T18" s="5">
        <v>24100</v>
      </c>
      <c r="U18" s="5">
        <v>1248</v>
      </c>
      <c r="V18" s="5">
        <v>0</v>
      </c>
      <c r="W18" s="5">
        <v>0</v>
      </c>
      <c r="X18" s="5">
        <v>0</v>
      </c>
      <c r="Y18" s="5">
        <v>72</v>
      </c>
      <c r="Z18" s="5">
        <v>1320</v>
      </c>
      <c r="AA18" s="5">
        <v>930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2250</v>
      </c>
      <c r="AS18" s="5">
        <v>21850</v>
      </c>
      <c r="AT18" s="5"/>
      <c r="AU18" s="5"/>
      <c r="AV18" s="5"/>
      <c r="AW18" s="5"/>
      <c r="AX18" s="5"/>
      <c r="AY18" s="5"/>
      <c r="AZ18" s="5"/>
      <c r="BA18" s="5"/>
      <c r="BB18" s="5"/>
    </row>
    <row r="19" spans="1:54" x14ac:dyDescent="0.15">
      <c r="A19" s="5">
        <v>300</v>
      </c>
      <c r="B19" s="5">
        <v>10</v>
      </c>
      <c r="C19" s="5">
        <v>567</v>
      </c>
      <c r="D19" s="5" t="s">
        <v>205</v>
      </c>
      <c r="E19" s="5">
        <v>616200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616200</v>
      </c>
      <c r="S19" s="5">
        <v>0</v>
      </c>
      <c r="T19" s="5">
        <v>616200</v>
      </c>
      <c r="U19" s="5">
        <v>32032</v>
      </c>
      <c r="V19" s="5">
        <v>5236</v>
      </c>
      <c r="W19" s="5">
        <v>56364</v>
      </c>
      <c r="X19" s="5">
        <v>0</v>
      </c>
      <c r="Y19" s="5">
        <v>1849</v>
      </c>
      <c r="Z19" s="5">
        <v>95481</v>
      </c>
      <c r="AA19" s="5">
        <v>74431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169912</v>
      </c>
      <c r="AS19" s="5">
        <v>446288</v>
      </c>
      <c r="AT19" s="5"/>
      <c r="AU19" s="5"/>
      <c r="AV19" s="5"/>
      <c r="AW19" s="5"/>
      <c r="AX19" s="5"/>
      <c r="AY19" s="5"/>
      <c r="AZ19" s="5"/>
      <c r="BA19" s="5"/>
      <c r="BB19" s="5"/>
    </row>
    <row r="20" spans="1:54" x14ac:dyDescent="0.15">
      <c r="A20" s="5">
        <v>300</v>
      </c>
      <c r="B20" s="5">
        <v>40</v>
      </c>
      <c r="C20" s="5">
        <v>569</v>
      </c>
      <c r="D20" s="5" t="s">
        <v>237</v>
      </c>
      <c r="E20" s="5">
        <v>398000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398000</v>
      </c>
      <c r="S20" s="5">
        <v>0</v>
      </c>
      <c r="T20" s="5">
        <v>398000</v>
      </c>
      <c r="U20" s="5">
        <v>20696</v>
      </c>
      <c r="V20" s="5">
        <v>3383</v>
      </c>
      <c r="W20" s="5">
        <v>36417</v>
      </c>
      <c r="X20" s="5">
        <v>0</v>
      </c>
      <c r="Y20" s="5">
        <v>1194</v>
      </c>
      <c r="Z20" s="5">
        <v>61690</v>
      </c>
      <c r="AA20" s="5">
        <v>13734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75424</v>
      </c>
      <c r="AS20" s="5">
        <v>322576</v>
      </c>
      <c r="AT20" s="5"/>
      <c r="AU20" s="5"/>
      <c r="AV20" s="5"/>
      <c r="AW20" s="5"/>
      <c r="AX20" s="5"/>
      <c r="AY20" s="5"/>
      <c r="AZ20" s="5"/>
      <c r="BA20" s="5"/>
      <c r="BB20" s="5"/>
    </row>
    <row r="21" spans="1:54" x14ac:dyDescent="0.15">
      <c r="A21" s="5">
        <v>200</v>
      </c>
      <c r="B21" s="5">
        <v>20</v>
      </c>
      <c r="C21" s="5">
        <v>572</v>
      </c>
      <c r="D21" s="5" t="s">
        <v>195</v>
      </c>
      <c r="E21" s="5">
        <v>332700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332700</v>
      </c>
      <c r="S21" s="5">
        <v>0</v>
      </c>
      <c r="T21" s="5">
        <v>332700</v>
      </c>
      <c r="U21" s="5">
        <v>17264</v>
      </c>
      <c r="V21" s="5">
        <v>2822</v>
      </c>
      <c r="W21" s="5">
        <v>30378</v>
      </c>
      <c r="X21" s="5">
        <v>0</v>
      </c>
      <c r="Y21" s="5">
        <v>998</v>
      </c>
      <c r="Z21" s="5">
        <v>51462</v>
      </c>
      <c r="AA21" s="5">
        <v>11485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62947</v>
      </c>
      <c r="AS21" s="5">
        <v>269753</v>
      </c>
      <c r="AT21" s="5"/>
      <c r="AU21" s="5"/>
      <c r="AV21" s="5"/>
      <c r="AW21" s="5"/>
      <c r="AX21" s="5"/>
      <c r="AY21" s="5"/>
      <c r="AZ21" s="5"/>
      <c r="BA21" s="5"/>
      <c r="BB21" s="5"/>
    </row>
    <row r="22" spans="1:54" x14ac:dyDescent="0.15">
      <c r="A22" s="5">
        <v>300</v>
      </c>
      <c r="B22" s="5">
        <v>40</v>
      </c>
      <c r="C22" s="5">
        <v>581</v>
      </c>
      <c r="D22" s="5" t="s">
        <v>236</v>
      </c>
      <c r="E22" s="5">
        <v>533000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533000</v>
      </c>
      <c r="S22" s="5">
        <v>0</v>
      </c>
      <c r="T22" s="5">
        <v>533000</v>
      </c>
      <c r="U22" s="5">
        <v>27716</v>
      </c>
      <c r="V22" s="5">
        <v>4530</v>
      </c>
      <c r="W22" s="5">
        <v>48769</v>
      </c>
      <c r="X22" s="5">
        <v>0</v>
      </c>
      <c r="Y22" s="5">
        <v>1599</v>
      </c>
      <c r="Z22" s="5">
        <v>82614</v>
      </c>
      <c r="AA22" s="5">
        <v>27590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110204</v>
      </c>
      <c r="AS22" s="5">
        <v>422796</v>
      </c>
      <c r="AT22" s="5"/>
      <c r="AU22" s="5"/>
      <c r="AV22" s="5"/>
      <c r="AW22" s="5"/>
      <c r="AX22" s="5"/>
      <c r="AY22" s="5"/>
      <c r="AZ22" s="5"/>
      <c r="BA22" s="5"/>
      <c r="BB22" s="5"/>
    </row>
    <row r="23" spans="1:54" x14ac:dyDescent="0.15">
      <c r="A23" s="5">
        <v>200</v>
      </c>
      <c r="B23" s="5">
        <v>20</v>
      </c>
      <c r="C23" s="5">
        <v>591</v>
      </c>
      <c r="D23" s="5" t="s">
        <v>196</v>
      </c>
      <c r="E23" s="5">
        <v>452000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452000</v>
      </c>
      <c r="S23" s="5">
        <v>0</v>
      </c>
      <c r="T23" s="5">
        <v>452000</v>
      </c>
      <c r="U23" s="5">
        <v>23504</v>
      </c>
      <c r="V23" s="5">
        <v>0</v>
      </c>
      <c r="W23" s="5">
        <v>41358</v>
      </c>
      <c r="X23" s="5">
        <v>0</v>
      </c>
      <c r="Y23" s="5">
        <v>1356</v>
      </c>
      <c r="Z23" s="5">
        <v>66218</v>
      </c>
      <c r="AA23" s="5">
        <v>15755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81973</v>
      </c>
      <c r="AS23" s="5">
        <v>370027</v>
      </c>
      <c r="AT23" s="5"/>
      <c r="AU23" s="5"/>
      <c r="AV23" s="5"/>
      <c r="AW23" s="5"/>
      <c r="AX23" s="5"/>
      <c r="AY23" s="5"/>
      <c r="AZ23" s="5"/>
      <c r="BA23" s="5"/>
      <c r="BB23" s="5"/>
    </row>
    <row r="24" spans="1:54" x14ac:dyDescent="0.15">
      <c r="A24" s="5">
        <v>200</v>
      </c>
      <c r="B24" s="5">
        <v>10</v>
      </c>
      <c r="C24" s="5">
        <v>600</v>
      </c>
      <c r="D24" s="5" t="s">
        <v>181</v>
      </c>
      <c r="E24" s="5">
        <v>374000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374000</v>
      </c>
      <c r="S24" s="5">
        <v>0</v>
      </c>
      <c r="T24" s="5">
        <v>374000</v>
      </c>
      <c r="U24" s="5">
        <v>19448</v>
      </c>
      <c r="V24" s="5">
        <v>3179</v>
      </c>
      <c r="W24" s="5">
        <v>34221</v>
      </c>
      <c r="X24" s="5">
        <v>0</v>
      </c>
      <c r="Y24" s="5">
        <v>1122</v>
      </c>
      <c r="Z24" s="5">
        <v>57970</v>
      </c>
      <c r="AA24" s="5">
        <v>6453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64423</v>
      </c>
      <c r="AS24" s="5">
        <v>309577</v>
      </c>
      <c r="AT24" s="5"/>
      <c r="AU24" s="5"/>
      <c r="AV24" s="5"/>
      <c r="AW24" s="5"/>
      <c r="AX24" s="5"/>
      <c r="AY24" s="5"/>
      <c r="AZ24" s="5"/>
      <c r="BA24" s="5"/>
      <c r="BB24" s="5"/>
    </row>
    <row r="25" spans="1:54" x14ac:dyDescent="0.15">
      <c r="A25" s="5">
        <v>300</v>
      </c>
      <c r="B25" s="5">
        <v>50</v>
      </c>
      <c r="C25" s="5">
        <v>601</v>
      </c>
      <c r="D25" s="5" t="s">
        <v>209</v>
      </c>
      <c r="E25" s="5">
        <v>545100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545100</v>
      </c>
      <c r="S25" s="5">
        <v>0</v>
      </c>
      <c r="T25" s="5">
        <v>545100</v>
      </c>
      <c r="U25" s="5">
        <v>28340</v>
      </c>
      <c r="V25" s="5">
        <v>0</v>
      </c>
      <c r="W25" s="5">
        <v>49867</v>
      </c>
      <c r="X25" s="5">
        <v>0</v>
      </c>
      <c r="Y25" s="5">
        <v>1635</v>
      </c>
      <c r="Z25" s="5">
        <v>79842</v>
      </c>
      <c r="AA25" s="5">
        <v>38002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117844</v>
      </c>
      <c r="AS25" s="5">
        <v>427256</v>
      </c>
      <c r="AT25" s="5"/>
      <c r="AU25" s="5"/>
      <c r="AV25" s="5"/>
      <c r="AW25" s="5"/>
      <c r="AX25" s="5"/>
      <c r="AY25" s="5"/>
      <c r="AZ25" s="5"/>
      <c r="BA25" s="5"/>
      <c r="BB25" s="5"/>
    </row>
    <row r="26" spans="1:54" x14ac:dyDescent="0.15">
      <c r="A26" s="5">
        <v>200</v>
      </c>
      <c r="B26" s="5">
        <v>10</v>
      </c>
      <c r="C26" s="5">
        <v>602</v>
      </c>
      <c r="D26" s="5" t="s">
        <v>179</v>
      </c>
      <c r="E26" s="5">
        <v>561000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561000</v>
      </c>
      <c r="S26" s="5">
        <v>0</v>
      </c>
      <c r="T26" s="5">
        <v>561000</v>
      </c>
      <c r="U26" s="5">
        <v>29172</v>
      </c>
      <c r="V26" s="5">
        <v>0</v>
      </c>
      <c r="W26" s="5">
        <v>51331</v>
      </c>
      <c r="X26" s="5">
        <v>0</v>
      </c>
      <c r="Y26" s="5">
        <v>1683</v>
      </c>
      <c r="Z26" s="5">
        <v>82186</v>
      </c>
      <c r="AA26" s="5">
        <v>29332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111518</v>
      </c>
      <c r="AS26" s="5">
        <v>449482</v>
      </c>
      <c r="AT26" s="5"/>
      <c r="AU26" s="5"/>
      <c r="AV26" s="5"/>
      <c r="AW26" s="5"/>
      <c r="AX26" s="5"/>
      <c r="AY26" s="5"/>
      <c r="AZ26" s="5"/>
      <c r="BA26" s="5"/>
      <c r="BB26" s="5"/>
    </row>
    <row r="27" spans="1:54" x14ac:dyDescent="0.15">
      <c r="A27" s="5">
        <v>300</v>
      </c>
      <c r="B27" s="5">
        <v>50</v>
      </c>
      <c r="C27" s="5">
        <v>604</v>
      </c>
      <c r="D27" s="5" t="s">
        <v>220</v>
      </c>
      <c r="E27" s="5">
        <v>443300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443300</v>
      </c>
      <c r="S27" s="5">
        <v>0</v>
      </c>
      <c r="T27" s="5">
        <v>443300</v>
      </c>
      <c r="U27" s="5">
        <v>23036</v>
      </c>
      <c r="V27" s="5">
        <v>0</v>
      </c>
      <c r="W27" s="5">
        <v>40534</v>
      </c>
      <c r="X27" s="5">
        <v>0</v>
      </c>
      <c r="Y27" s="5">
        <v>1330</v>
      </c>
      <c r="Z27" s="5">
        <v>64900</v>
      </c>
      <c r="AA27" s="5">
        <v>15453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80353</v>
      </c>
      <c r="AS27" s="5">
        <v>362947</v>
      </c>
      <c r="AT27" s="5"/>
      <c r="AU27" s="5"/>
      <c r="AV27" s="5"/>
      <c r="AW27" s="5"/>
      <c r="AX27" s="5"/>
      <c r="AY27" s="5"/>
      <c r="AZ27" s="5"/>
      <c r="BA27" s="5"/>
      <c r="BB27" s="5"/>
    </row>
    <row r="28" spans="1:54" x14ac:dyDescent="0.15">
      <c r="A28" s="5">
        <v>200</v>
      </c>
      <c r="B28" s="5">
        <v>20</v>
      </c>
      <c r="C28" s="5">
        <v>605</v>
      </c>
      <c r="D28" s="5" t="s">
        <v>197</v>
      </c>
      <c r="E28" s="5">
        <v>432000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432000</v>
      </c>
      <c r="S28" s="5">
        <v>0</v>
      </c>
      <c r="T28" s="5">
        <v>432000</v>
      </c>
      <c r="U28" s="5">
        <v>22464</v>
      </c>
      <c r="V28" s="5">
        <v>0</v>
      </c>
      <c r="W28" s="5">
        <v>39528</v>
      </c>
      <c r="X28" s="5">
        <v>0</v>
      </c>
      <c r="Y28" s="5">
        <v>1296</v>
      </c>
      <c r="Z28" s="5">
        <v>63288</v>
      </c>
      <c r="AA28" s="5">
        <v>15058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78346</v>
      </c>
      <c r="AS28" s="5">
        <v>353654</v>
      </c>
      <c r="AT28" s="5"/>
      <c r="AU28" s="5"/>
      <c r="AV28" s="5"/>
      <c r="AW28" s="5"/>
      <c r="AX28" s="5"/>
      <c r="AY28" s="5"/>
      <c r="AZ28" s="5"/>
      <c r="BA28" s="5"/>
      <c r="BB28" s="5"/>
    </row>
    <row r="29" spans="1:54" x14ac:dyDescent="0.15">
      <c r="A29" s="5">
        <v>300</v>
      </c>
      <c r="B29" s="5">
        <v>40</v>
      </c>
      <c r="C29" s="5">
        <v>607</v>
      </c>
      <c r="D29" s="5" t="s">
        <v>238</v>
      </c>
      <c r="E29" s="5">
        <v>381800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381800</v>
      </c>
      <c r="S29" s="5">
        <v>0</v>
      </c>
      <c r="T29" s="5">
        <v>381800</v>
      </c>
      <c r="U29" s="5">
        <v>19812</v>
      </c>
      <c r="V29" s="5">
        <v>3238</v>
      </c>
      <c r="W29" s="5">
        <v>34861</v>
      </c>
      <c r="X29" s="5">
        <v>0</v>
      </c>
      <c r="Y29" s="5">
        <v>1145</v>
      </c>
      <c r="Z29" s="5">
        <v>59056</v>
      </c>
      <c r="AA29" s="5">
        <v>6590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65646</v>
      </c>
      <c r="AS29" s="5">
        <v>316154</v>
      </c>
      <c r="AT29" s="5"/>
      <c r="AU29" s="5"/>
      <c r="AV29" s="5"/>
      <c r="AW29" s="5"/>
      <c r="AX29" s="5"/>
      <c r="AY29" s="5"/>
      <c r="AZ29" s="5"/>
      <c r="BA29" s="5"/>
      <c r="BB29" s="5"/>
    </row>
    <row r="30" spans="1:54" x14ac:dyDescent="0.15">
      <c r="A30" s="5">
        <v>300</v>
      </c>
      <c r="B30" s="5">
        <v>10</v>
      </c>
      <c r="C30" s="5">
        <v>608</v>
      </c>
      <c r="D30" s="5" t="s">
        <v>175</v>
      </c>
      <c r="E30" s="5">
        <v>490000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490000</v>
      </c>
      <c r="S30" s="5">
        <v>0</v>
      </c>
      <c r="T30" s="5">
        <v>490000</v>
      </c>
      <c r="U30" s="5">
        <v>25480</v>
      </c>
      <c r="V30" s="5">
        <v>4165</v>
      </c>
      <c r="W30" s="5">
        <v>44835</v>
      </c>
      <c r="X30" s="5">
        <v>0</v>
      </c>
      <c r="Y30" s="5">
        <v>1470</v>
      </c>
      <c r="Z30" s="5">
        <v>75950</v>
      </c>
      <c r="AA30" s="5">
        <v>25364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101314</v>
      </c>
      <c r="AS30" s="5">
        <v>388686</v>
      </c>
      <c r="AT30" s="5"/>
      <c r="AU30" s="5"/>
      <c r="AV30" s="5"/>
      <c r="AW30" s="5"/>
      <c r="AX30" s="5"/>
      <c r="AY30" s="5"/>
      <c r="AZ30" s="5"/>
      <c r="BA30" s="5"/>
      <c r="BB30" s="5"/>
    </row>
    <row r="31" spans="1:54" x14ac:dyDescent="0.15">
      <c r="A31" s="5">
        <v>200</v>
      </c>
      <c r="B31" s="5">
        <v>10</v>
      </c>
      <c r="C31" s="5">
        <v>621</v>
      </c>
      <c r="D31" s="5" t="s">
        <v>180</v>
      </c>
      <c r="E31" s="5">
        <v>519000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519000</v>
      </c>
      <c r="S31" s="5">
        <v>0</v>
      </c>
      <c r="T31" s="5">
        <v>519000</v>
      </c>
      <c r="U31" s="5">
        <v>26988</v>
      </c>
      <c r="V31" s="5">
        <v>0</v>
      </c>
      <c r="W31" s="5">
        <v>47488</v>
      </c>
      <c r="X31" s="5">
        <v>0</v>
      </c>
      <c r="Y31" s="5">
        <v>1557</v>
      </c>
      <c r="Z31" s="5">
        <v>76033</v>
      </c>
      <c r="AA31" s="5">
        <v>27136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103169</v>
      </c>
      <c r="AS31" s="5">
        <v>415831</v>
      </c>
      <c r="AT31" s="5"/>
      <c r="AU31" s="5"/>
      <c r="AV31" s="5"/>
      <c r="AW31" s="5"/>
      <c r="AX31" s="5"/>
      <c r="AY31" s="5"/>
      <c r="AZ31" s="5"/>
      <c r="BA31" s="5"/>
      <c r="BB31" s="5"/>
    </row>
    <row r="32" spans="1:54" x14ac:dyDescent="0.15">
      <c r="A32" s="5">
        <v>100</v>
      </c>
      <c r="B32" s="5"/>
      <c r="C32" s="5">
        <v>622</v>
      </c>
      <c r="D32" s="5" t="s">
        <v>246</v>
      </c>
      <c r="E32" s="5">
        <v>390900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390900</v>
      </c>
      <c r="S32" s="5">
        <v>0</v>
      </c>
      <c r="T32" s="5">
        <v>390900</v>
      </c>
      <c r="U32" s="5">
        <v>20280</v>
      </c>
      <c r="V32" s="5">
        <v>0</v>
      </c>
      <c r="W32" s="5">
        <v>35685</v>
      </c>
      <c r="X32" s="5">
        <v>0</v>
      </c>
      <c r="Y32" s="5">
        <v>1173</v>
      </c>
      <c r="Z32" s="5">
        <v>57138</v>
      </c>
      <c r="AA32" s="5">
        <v>13630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70768</v>
      </c>
      <c r="AS32" s="5">
        <v>320132</v>
      </c>
      <c r="AT32" s="5"/>
      <c r="AU32" s="5"/>
      <c r="AV32" s="5"/>
      <c r="AW32" s="5"/>
      <c r="AX32" s="5"/>
      <c r="AY32" s="5"/>
      <c r="AZ32" s="5"/>
      <c r="BA32" s="5"/>
      <c r="BB32" s="5"/>
    </row>
    <row r="33" spans="1:54" x14ac:dyDescent="0.15">
      <c r="A33" s="5">
        <v>200</v>
      </c>
      <c r="B33" s="5">
        <v>20</v>
      </c>
      <c r="C33" s="5">
        <v>630</v>
      </c>
      <c r="D33" s="5" t="s">
        <v>194</v>
      </c>
      <c r="E33" s="5">
        <v>682900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682900</v>
      </c>
      <c r="S33" s="5">
        <v>0</v>
      </c>
      <c r="T33" s="5">
        <v>682900</v>
      </c>
      <c r="U33" s="5">
        <v>35464</v>
      </c>
      <c r="V33" s="5">
        <v>0</v>
      </c>
      <c r="W33" s="5">
        <v>62403</v>
      </c>
      <c r="X33" s="5">
        <v>0</v>
      </c>
      <c r="Y33" s="5">
        <v>2049</v>
      </c>
      <c r="Z33" s="5">
        <v>99916</v>
      </c>
      <c r="AA33" s="5">
        <v>35713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135629</v>
      </c>
      <c r="AS33" s="5">
        <v>547271</v>
      </c>
      <c r="AT33" s="5"/>
      <c r="AU33" s="5"/>
      <c r="AV33" s="5"/>
      <c r="AW33" s="5"/>
      <c r="AX33" s="5"/>
      <c r="AY33" s="5"/>
      <c r="AZ33" s="5"/>
      <c r="BA33" s="5"/>
      <c r="BB33" s="5"/>
    </row>
    <row r="34" spans="1:54" x14ac:dyDescent="0.15">
      <c r="A34" s="5">
        <v>200</v>
      </c>
      <c r="B34" s="5">
        <v>20</v>
      </c>
      <c r="C34" s="5">
        <v>637</v>
      </c>
      <c r="D34" s="5" t="s">
        <v>201</v>
      </c>
      <c r="E34" s="5">
        <v>22500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22500</v>
      </c>
      <c r="S34" s="5">
        <v>0</v>
      </c>
      <c r="T34" s="5">
        <v>22500</v>
      </c>
      <c r="U34" s="5">
        <v>1144</v>
      </c>
      <c r="V34" s="5">
        <v>187</v>
      </c>
      <c r="W34" s="5">
        <v>2013</v>
      </c>
      <c r="X34" s="5">
        <v>0</v>
      </c>
      <c r="Y34" s="5">
        <v>67</v>
      </c>
      <c r="Z34" s="5">
        <v>3411</v>
      </c>
      <c r="AA34" s="5">
        <v>779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4190</v>
      </c>
      <c r="AS34" s="5">
        <v>18310</v>
      </c>
      <c r="AT34" s="5"/>
      <c r="AU34" s="5"/>
      <c r="AV34" s="5"/>
      <c r="AW34" s="5"/>
      <c r="AX34" s="5"/>
      <c r="AY34" s="5"/>
      <c r="AZ34" s="5"/>
      <c r="BA34" s="5"/>
      <c r="BB34" s="5"/>
    </row>
    <row r="35" spans="1:54" x14ac:dyDescent="0.15">
      <c r="A35" s="5">
        <v>300</v>
      </c>
      <c r="B35" s="5">
        <v>30</v>
      </c>
      <c r="C35" s="5">
        <v>642</v>
      </c>
      <c r="D35" s="5" t="s">
        <v>211</v>
      </c>
      <c r="E35" s="5">
        <v>366800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366800</v>
      </c>
      <c r="S35" s="5">
        <v>0</v>
      </c>
      <c r="T35" s="5">
        <v>366800</v>
      </c>
      <c r="U35" s="5">
        <v>19032</v>
      </c>
      <c r="V35" s="5">
        <v>0</v>
      </c>
      <c r="W35" s="5">
        <v>33489</v>
      </c>
      <c r="X35" s="5">
        <v>0</v>
      </c>
      <c r="Y35" s="5">
        <v>1100</v>
      </c>
      <c r="Z35" s="5">
        <v>53621</v>
      </c>
      <c r="AA35" s="5">
        <v>12790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66411</v>
      </c>
      <c r="AS35" s="5">
        <v>300389</v>
      </c>
      <c r="AT35" s="5"/>
      <c r="AU35" s="5"/>
      <c r="AV35" s="5"/>
      <c r="AW35" s="5"/>
      <c r="AX35" s="5"/>
      <c r="AY35" s="5"/>
      <c r="AZ35" s="5"/>
      <c r="BA35" s="5"/>
      <c r="BB35" s="5"/>
    </row>
    <row r="36" spans="1:54" x14ac:dyDescent="0.15">
      <c r="A36" s="5">
        <v>300</v>
      </c>
      <c r="B36" s="5">
        <v>30</v>
      </c>
      <c r="C36" s="5">
        <v>644</v>
      </c>
      <c r="D36" s="5" t="s">
        <v>232</v>
      </c>
      <c r="E36" s="5">
        <v>414400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414400</v>
      </c>
      <c r="S36" s="5">
        <v>0</v>
      </c>
      <c r="T36" s="5">
        <v>414400</v>
      </c>
      <c r="U36" s="5">
        <v>21528</v>
      </c>
      <c r="V36" s="5">
        <v>0</v>
      </c>
      <c r="W36" s="5">
        <v>37881</v>
      </c>
      <c r="X36" s="5">
        <v>0</v>
      </c>
      <c r="Y36" s="5">
        <v>1243</v>
      </c>
      <c r="Z36" s="5">
        <v>60652</v>
      </c>
      <c r="AA36" s="5">
        <v>21670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82322</v>
      </c>
      <c r="AS36" s="5">
        <v>332078</v>
      </c>
      <c r="AT36" s="5"/>
      <c r="AU36" s="5"/>
      <c r="AV36" s="5"/>
      <c r="AW36" s="5"/>
      <c r="AX36" s="5"/>
      <c r="AY36" s="5"/>
      <c r="AZ36" s="5"/>
      <c r="BA36" s="5"/>
      <c r="BB36" s="5"/>
    </row>
    <row r="37" spans="1:54" x14ac:dyDescent="0.15">
      <c r="A37" s="5">
        <v>300</v>
      </c>
      <c r="B37" s="5">
        <v>10</v>
      </c>
      <c r="C37" s="5">
        <v>648</v>
      </c>
      <c r="D37" s="5" t="s">
        <v>221</v>
      </c>
      <c r="E37" s="5">
        <v>471700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471700</v>
      </c>
      <c r="S37" s="5">
        <v>0</v>
      </c>
      <c r="T37" s="5">
        <v>471700</v>
      </c>
      <c r="U37" s="5">
        <v>24492</v>
      </c>
      <c r="V37" s="5">
        <v>4003</v>
      </c>
      <c r="W37" s="5">
        <v>43096</v>
      </c>
      <c r="X37" s="5">
        <v>0</v>
      </c>
      <c r="Y37" s="5">
        <v>1415</v>
      </c>
      <c r="Z37" s="5">
        <v>73006</v>
      </c>
      <c r="AA37" s="5">
        <v>24423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97429</v>
      </c>
      <c r="AS37" s="5">
        <v>374271</v>
      </c>
      <c r="AT37" s="5"/>
      <c r="AU37" s="5"/>
      <c r="AV37" s="5"/>
      <c r="AW37" s="5"/>
      <c r="AX37" s="5"/>
      <c r="AY37" s="5"/>
      <c r="AZ37" s="5"/>
      <c r="BA37" s="5"/>
      <c r="BB37" s="5"/>
    </row>
    <row r="38" spans="1:54" x14ac:dyDescent="0.15">
      <c r="A38" s="5">
        <v>300</v>
      </c>
      <c r="B38" s="5">
        <v>30</v>
      </c>
      <c r="C38" s="5">
        <v>649</v>
      </c>
      <c r="D38" s="5" t="s">
        <v>233</v>
      </c>
      <c r="E38" s="5">
        <v>327000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327000</v>
      </c>
      <c r="S38" s="5">
        <v>0</v>
      </c>
      <c r="T38" s="5">
        <v>327000</v>
      </c>
      <c r="U38" s="5">
        <v>17004</v>
      </c>
      <c r="V38" s="5">
        <v>2779</v>
      </c>
      <c r="W38" s="5">
        <v>29920</v>
      </c>
      <c r="X38" s="5">
        <v>0</v>
      </c>
      <c r="Y38" s="5">
        <v>981</v>
      </c>
      <c r="Z38" s="5">
        <v>50684</v>
      </c>
      <c r="AA38" s="5">
        <v>5642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56326</v>
      </c>
      <c r="AS38" s="5">
        <v>270674</v>
      </c>
      <c r="AT38" s="5"/>
      <c r="AU38" s="5"/>
      <c r="AV38" s="5"/>
      <c r="AW38" s="5"/>
      <c r="AX38" s="5"/>
      <c r="AY38" s="5"/>
      <c r="AZ38" s="5"/>
      <c r="BA38" s="5"/>
      <c r="BB38" s="5"/>
    </row>
    <row r="39" spans="1:54" x14ac:dyDescent="0.15">
      <c r="A39" s="5">
        <v>200</v>
      </c>
      <c r="B39" s="5">
        <v>30</v>
      </c>
      <c r="C39" s="5">
        <v>650</v>
      </c>
      <c r="D39" s="5" t="s">
        <v>204</v>
      </c>
      <c r="E39" s="5">
        <v>470600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470600</v>
      </c>
      <c r="S39" s="5">
        <v>0</v>
      </c>
      <c r="T39" s="5">
        <v>470600</v>
      </c>
      <c r="U39" s="5">
        <v>24440</v>
      </c>
      <c r="V39" s="5">
        <v>0</v>
      </c>
      <c r="W39" s="5">
        <v>43005</v>
      </c>
      <c r="X39" s="5">
        <v>0</v>
      </c>
      <c r="Y39" s="5">
        <v>1412</v>
      </c>
      <c r="Z39" s="5">
        <v>68857</v>
      </c>
      <c r="AA39" s="5">
        <v>24610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93467</v>
      </c>
      <c r="AS39" s="5">
        <v>377133</v>
      </c>
      <c r="AT39" s="5"/>
      <c r="AU39" s="5"/>
      <c r="AV39" s="5"/>
      <c r="AW39" s="5"/>
      <c r="AX39" s="5"/>
      <c r="AY39" s="5"/>
      <c r="AZ39" s="5"/>
      <c r="BA39" s="5"/>
      <c r="BB39" s="5"/>
    </row>
    <row r="40" spans="1:54" x14ac:dyDescent="0.15">
      <c r="A40" s="5">
        <v>200</v>
      </c>
      <c r="B40" s="5">
        <v>10</v>
      </c>
      <c r="C40" s="5">
        <v>652</v>
      </c>
      <c r="D40" s="5" t="s">
        <v>260</v>
      </c>
      <c r="E40" s="5">
        <v>414600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414600</v>
      </c>
      <c r="S40" s="5">
        <v>0</v>
      </c>
      <c r="T40" s="5">
        <v>414600</v>
      </c>
      <c r="U40" s="5">
        <v>21528</v>
      </c>
      <c r="V40" s="5">
        <v>0</v>
      </c>
      <c r="W40" s="5">
        <v>37881</v>
      </c>
      <c r="X40" s="5">
        <v>0</v>
      </c>
      <c r="Y40" s="5">
        <v>1244</v>
      </c>
      <c r="Z40" s="5">
        <v>60653</v>
      </c>
      <c r="AA40" s="5">
        <v>14455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75108</v>
      </c>
      <c r="AS40" s="5">
        <v>339492</v>
      </c>
      <c r="AT40" s="5"/>
      <c r="AU40" s="5"/>
      <c r="AV40" s="5"/>
      <c r="AW40" s="5"/>
      <c r="AX40" s="5"/>
      <c r="AY40" s="5"/>
      <c r="AZ40" s="5"/>
      <c r="BA40" s="5"/>
      <c r="BB40" s="5"/>
    </row>
    <row r="41" spans="1:54" x14ac:dyDescent="0.15">
      <c r="A41" s="5">
        <v>200</v>
      </c>
      <c r="B41" s="5">
        <v>10</v>
      </c>
      <c r="C41" s="5">
        <v>653</v>
      </c>
      <c r="D41" s="5" t="s">
        <v>182</v>
      </c>
      <c r="E41" s="5">
        <v>386000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386000</v>
      </c>
      <c r="S41" s="5">
        <v>0</v>
      </c>
      <c r="T41" s="5">
        <v>386000</v>
      </c>
      <c r="U41" s="5">
        <v>20072</v>
      </c>
      <c r="V41" s="5">
        <v>0</v>
      </c>
      <c r="W41" s="5">
        <v>35319</v>
      </c>
      <c r="X41" s="5">
        <v>0</v>
      </c>
      <c r="Y41" s="5">
        <v>1158</v>
      </c>
      <c r="Z41" s="5">
        <v>56549</v>
      </c>
      <c r="AA41" s="5">
        <v>13454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0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70003</v>
      </c>
      <c r="AS41" s="5">
        <v>315997</v>
      </c>
      <c r="AT41" s="5"/>
      <c r="AU41" s="5"/>
      <c r="AV41" s="5"/>
      <c r="AW41" s="5"/>
      <c r="AX41" s="5"/>
      <c r="AY41" s="5"/>
      <c r="AZ41" s="5"/>
      <c r="BA41" s="5"/>
      <c r="BB41" s="5"/>
    </row>
    <row r="42" spans="1:54" x14ac:dyDescent="0.15">
      <c r="A42" s="5">
        <v>300</v>
      </c>
      <c r="B42" s="5">
        <v>10</v>
      </c>
      <c r="C42" s="5">
        <v>656</v>
      </c>
      <c r="D42" s="5" t="s">
        <v>222</v>
      </c>
      <c r="E42" s="5">
        <v>267700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267700</v>
      </c>
      <c r="S42" s="5">
        <v>0</v>
      </c>
      <c r="T42" s="5">
        <v>267700</v>
      </c>
      <c r="U42" s="5">
        <v>13884</v>
      </c>
      <c r="V42" s="5">
        <v>0</v>
      </c>
      <c r="W42" s="5">
        <v>24430</v>
      </c>
      <c r="X42" s="5">
        <v>0</v>
      </c>
      <c r="Y42" s="5">
        <v>803</v>
      </c>
      <c r="Z42" s="5">
        <v>39117</v>
      </c>
      <c r="AA42" s="5">
        <v>9335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0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48452</v>
      </c>
      <c r="AS42" s="5">
        <v>219248</v>
      </c>
      <c r="AT42" s="5"/>
      <c r="AU42" s="5"/>
      <c r="AV42" s="5"/>
      <c r="AW42" s="5"/>
      <c r="AX42" s="5"/>
      <c r="AY42" s="5"/>
      <c r="AZ42" s="5"/>
      <c r="BA42" s="5"/>
      <c r="BB42" s="5"/>
    </row>
    <row r="43" spans="1:54" x14ac:dyDescent="0.15">
      <c r="A43" s="5">
        <v>300</v>
      </c>
      <c r="B43" s="5">
        <v>30</v>
      </c>
      <c r="C43" s="5">
        <v>668</v>
      </c>
      <c r="D43" s="5" t="s">
        <v>234</v>
      </c>
      <c r="E43" s="5">
        <v>32000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32000</v>
      </c>
      <c r="S43" s="5">
        <v>0</v>
      </c>
      <c r="T43" s="5">
        <v>32000</v>
      </c>
      <c r="U43" s="5">
        <v>1664</v>
      </c>
      <c r="V43" s="5">
        <v>0</v>
      </c>
      <c r="W43" s="5">
        <v>2928</v>
      </c>
      <c r="X43" s="5">
        <v>0</v>
      </c>
      <c r="Y43" s="5">
        <v>96</v>
      </c>
      <c r="Z43" s="5">
        <v>4688</v>
      </c>
      <c r="AA43" s="5">
        <v>1115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0</v>
      </c>
      <c r="AI43" s="5">
        <v>0</v>
      </c>
      <c r="AJ43" s="5">
        <v>0</v>
      </c>
      <c r="AK43" s="5">
        <v>0</v>
      </c>
      <c r="AL43" s="5">
        <v>0</v>
      </c>
      <c r="AM43" s="5">
        <v>0</v>
      </c>
      <c r="AN43" s="5">
        <v>0</v>
      </c>
      <c r="AO43" s="5">
        <v>0</v>
      </c>
      <c r="AP43" s="5">
        <v>0</v>
      </c>
      <c r="AQ43" s="5">
        <v>0</v>
      </c>
      <c r="AR43" s="5">
        <v>5803</v>
      </c>
      <c r="AS43" s="5">
        <v>26197</v>
      </c>
      <c r="AT43" s="5"/>
      <c r="AU43" s="5"/>
      <c r="AV43" s="5"/>
      <c r="AW43" s="5"/>
      <c r="AX43" s="5"/>
      <c r="AY43" s="5"/>
      <c r="AZ43" s="5"/>
      <c r="BA43" s="5"/>
      <c r="BB43" s="5"/>
    </row>
    <row r="44" spans="1:54" x14ac:dyDescent="0.15">
      <c r="A44" s="5">
        <v>200</v>
      </c>
      <c r="B44" s="5">
        <v>20</v>
      </c>
      <c r="C44" s="5">
        <v>679</v>
      </c>
      <c r="D44" s="5" t="s">
        <v>202</v>
      </c>
      <c r="E44" s="5">
        <v>24700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24700</v>
      </c>
      <c r="S44" s="5">
        <v>0</v>
      </c>
      <c r="T44" s="5">
        <v>24700</v>
      </c>
      <c r="U44" s="5">
        <v>1248</v>
      </c>
      <c r="V44" s="5">
        <v>0</v>
      </c>
      <c r="W44" s="5">
        <v>2196</v>
      </c>
      <c r="X44" s="5">
        <v>0</v>
      </c>
      <c r="Y44" s="5">
        <v>74</v>
      </c>
      <c r="Z44" s="5">
        <v>3518</v>
      </c>
      <c r="AA44" s="5">
        <v>432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0</v>
      </c>
      <c r="AK44" s="5">
        <v>0</v>
      </c>
      <c r="AL44" s="5">
        <v>0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3950</v>
      </c>
      <c r="AS44" s="5">
        <v>20750</v>
      </c>
      <c r="AT44" s="5"/>
      <c r="AU44" s="5"/>
      <c r="AV44" s="5"/>
      <c r="AW44" s="5"/>
      <c r="AX44" s="5"/>
      <c r="AY44" s="5"/>
      <c r="AZ44" s="5"/>
      <c r="BA44" s="5"/>
      <c r="BB44" s="5"/>
    </row>
    <row r="45" spans="1:54" x14ac:dyDescent="0.15">
      <c r="A45" s="5">
        <v>200</v>
      </c>
      <c r="B45" s="5">
        <v>10</v>
      </c>
      <c r="C45" s="5">
        <v>681</v>
      </c>
      <c r="D45" s="5" t="s">
        <v>183</v>
      </c>
      <c r="E45" s="5">
        <v>369000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369000</v>
      </c>
      <c r="S45" s="5">
        <v>0</v>
      </c>
      <c r="T45" s="5">
        <v>369000</v>
      </c>
      <c r="U45" s="5">
        <v>19188</v>
      </c>
      <c r="V45" s="5">
        <v>0</v>
      </c>
      <c r="W45" s="5">
        <v>33763</v>
      </c>
      <c r="X45" s="5">
        <v>0</v>
      </c>
      <c r="Y45" s="5">
        <v>1107</v>
      </c>
      <c r="Z45" s="5">
        <v>54058</v>
      </c>
      <c r="AA45" s="5">
        <v>12862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0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66920</v>
      </c>
      <c r="AS45" s="5">
        <v>302080</v>
      </c>
      <c r="AT45" s="5"/>
      <c r="AU45" s="5"/>
      <c r="AV45" s="5"/>
      <c r="AW45" s="5"/>
      <c r="AX45" s="5"/>
      <c r="AY45" s="5"/>
      <c r="AZ45" s="5"/>
      <c r="BA45" s="5"/>
      <c r="BB45" s="5"/>
    </row>
    <row r="46" spans="1:54" x14ac:dyDescent="0.15">
      <c r="A46" s="5">
        <v>300</v>
      </c>
      <c r="B46" s="5">
        <v>30</v>
      </c>
      <c r="C46" s="5">
        <v>683</v>
      </c>
      <c r="D46" s="5" t="s">
        <v>226</v>
      </c>
      <c r="E46" s="5">
        <v>371000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371000</v>
      </c>
      <c r="S46" s="5">
        <v>0</v>
      </c>
      <c r="T46" s="5">
        <v>371000</v>
      </c>
      <c r="U46" s="5">
        <v>19292</v>
      </c>
      <c r="V46" s="5">
        <v>3153</v>
      </c>
      <c r="W46" s="5">
        <v>33946</v>
      </c>
      <c r="X46" s="5">
        <v>0</v>
      </c>
      <c r="Y46" s="5">
        <v>1113</v>
      </c>
      <c r="Z46" s="5">
        <v>57504</v>
      </c>
      <c r="AA46" s="5">
        <v>6401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5">
        <v>0</v>
      </c>
      <c r="AK46" s="5">
        <v>0</v>
      </c>
      <c r="AL46" s="5">
        <v>0</v>
      </c>
      <c r="AM46" s="5">
        <v>0</v>
      </c>
      <c r="AN46" s="5">
        <v>0</v>
      </c>
      <c r="AO46" s="5">
        <v>0</v>
      </c>
      <c r="AP46" s="5">
        <v>0</v>
      </c>
      <c r="AQ46" s="5">
        <v>0</v>
      </c>
      <c r="AR46" s="5">
        <v>63905</v>
      </c>
      <c r="AS46" s="5">
        <v>307095</v>
      </c>
      <c r="AT46" s="5"/>
      <c r="AU46" s="5"/>
      <c r="AV46" s="5"/>
      <c r="AW46" s="5"/>
      <c r="AX46" s="5"/>
      <c r="AY46" s="5"/>
      <c r="AZ46" s="5"/>
      <c r="BA46" s="5"/>
      <c r="BB46" s="5"/>
    </row>
    <row r="47" spans="1:54" x14ac:dyDescent="0.15">
      <c r="A47" s="5">
        <v>300</v>
      </c>
      <c r="B47" s="5">
        <v>10</v>
      </c>
      <c r="C47" s="5">
        <v>685</v>
      </c>
      <c r="D47" s="5" t="s">
        <v>212</v>
      </c>
      <c r="E47" s="5">
        <v>307100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307100</v>
      </c>
      <c r="S47" s="5">
        <v>0</v>
      </c>
      <c r="T47" s="5">
        <v>307100</v>
      </c>
      <c r="U47" s="5">
        <v>15964</v>
      </c>
      <c r="V47" s="5">
        <v>2609</v>
      </c>
      <c r="W47" s="5">
        <v>28090</v>
      </c>
      <c r="X47" s="5">
        <v>0</v>
      </c>
      <c r="Y47" s="5">
        <v>921</v>
      </c>
      <c r="Z47" s="5">
        <v>47584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0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47584</v>
      </c>
      <c r="AS47" s="5">
        <v>259516</v>
      </c>
      <c r="AT47" s="5"/>
      <c r="AU47" s="5"/>
      <c r="AV47" s="5"/>
      <c r="AW47" s="5"/>
      <c r="AX47" s="5"/>
      <c r="AY47" s="5"/>
      <c r="AZ47" s="5"/>
      <c r="BA47" s="5"/>
      <c r="BB47" s="5"/>
    </row>
    <row r="48" spans="1:54" x14ac:dyDescent="0.15">
      <c r="A48" s="5">
        <v>300</v>
      </c>
      <c r="B48" s="5">
        <v>10</v>
      </c>
      <c r="C48" s="5">
        <v>687</v>
      </c>
      <c r="D48" s="5" t="s">
        <v>213</v>
      </c>
      <c r="E48" s="5">
        <v>295900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295900</v>
      </c>
      <c r="S48" s="5">
        <v>0</v>
      </c>
      <c r="T48" s="5">
        <v>295900</v>
      </c>
      <c r="U48" s="5">
        <v>15340</v>
      </c>
      <c r="V48" s="5">
        <v>2507</v>
      </c>
      <c r="W48" s="5">
        <v>26992</v>
      </c>
      <c r="X48" s="5">
        <v>0</v>
      </c>
      <c r="Y48" s="5">
        <v>888</v>
      </c>
      <c r="Z48" s="5">
        <v>45727</v>
      </c>
      <c r="AA48" s="5">
        <v>10217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0</v>
      </c>
      <c r="AM48" s="5">
        <v>0</v>
      </c>
      <c r="AN48" s="5">
        <v>0</v>
      </c>
      <c r="AO48" s="5">
        <v>0</v>
      </c>
      <c r="AP48" s="5">
        <v>0</v>
      </c>
      <c r="AQ48" s="5">
        <v>0</v>
      </c>
      <c r="AR48" s="5">
        <v>55944</v>
      </c>
      <c r="AS48" s="5">
        <v>239956</v>
      </c>
      <c r="AT48" s="5"/>
      <c r="AU48" s="5"/>
      <c r="AV48" s="5"/>
      <c r="AW48" s="5"/>
      <c r="AX48" s="5"/>
      <c r="AY48" s="5"/>
      <c r="AZ48" s="5"/>
      <c r="BA48" s="5"/>
      <c r="BB48" s="5"/>
    </row>
    <row r="49" spans="1:54" x14ac:dyDescent="0.15">
      <c r="A49" s="5">
        <v>300</v>
      </c>
      <c r="B49" s="5">
        <v>30</v>
      </c>
      <c r="C49" s="5">
        <v>691</v>
      </c>
      <c r="D49" s="5" t="s">
        <v>227</v>
      </c>
      <c r="E49" s="5">
        <v>373600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373600</v>
      </c>
      <c r="S49" s="5">
        <v>0</v>
      </c>
      <c r="T49" s="5">
        <v>373600</v>
      </c>
      <c r="U49" s="5">
        <v>19396</v>
      </c>
      <c r="V49" s="5">
        <v>0</v>
      </c>
      <c r="W49" s="5">
        <v>34129</v>
      </c>
      <c r="X49" s="5">
        <v>0</v>
      </c>
      <c r="Y49" s="5">
        <v>1121</v>
      </c>
      <c r="Z49" s="5">
        <v>54646</v>
      </c>
      <c r="AA49" s="5">
        <v>13026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0</v>
      </c>
      <c r="AI49" s="5">
        <v>0</v>
      </c>
      <c r="AJ49" s="5">
        <v>0</v>
      </c>
      <c r="AK49" s="5">
        <v>0</v>
      </c>
      <c r="AL49" s="5">
        <v>0</v>
      </c>
      <c r="AM49" s="5">
        <v>0</v>
      </c>
      <c r="AN49" s="5">
        <v>0</v>
      </c>
      <c r="AO49" s="5">
        <v>0</v>
      </c>
      <c r="AP49" s="5">
        <v>0</v>
      </c>
      <c r="AQ49" s="5">
        <v>0</v>
      </c>
      <c r="AR49" s="5">
        <v>67672</v>
      </c>
      <c r="AS49" s="5">
        <v>305928</v>
      </c>
      <c r="AT49" s="5"/>
      <c r="AU49" s="5"/>
      <c r="AV49" s="5"/>
      <c r="AW49" s="5"/>
      <c r="AX49" s="5"/>
      <c r="AY49" s="5"/>
      <c r="AZ49" s="5"/>
      <c r="BA49" s="5"/>
      <c r="BB49" s="5"/>
    </row>
    <row r="50" spans="1:54" x14ac:dyDescent="0.15">
      <c r="A50" s="5">
        <v>300</v>
      </c>
      <c r="B50" s="5">
        <v>10</v>
      </c>
      <c r="C50" s="5">
        <v>692</v>
      </c>
      <c r="D50" s="5" t="s">
        <v>214</v>
      </c>
      <c r="E50" s="5">
        <v>441600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441600</v>
      </c>
      <c r="S50" s="5">
        <v>0</v>
      </c>
      <c r="T50" s="5">
        <v>441600</v>
      </c>
      <c r="U50" s="5">
        <v>22932</v>
      </c>
      <c r="V50" s="5">
        <v>0</v>
      </c>
      <c r="W50" s="5">
        <v>40351</v>
      </c>
      <c r="X50" s="5">
        <v>0</v>
      </c>
      <c r="Y50" s="5">
        <v>1325</v>
      </c>
      <c r="Z50" s="5">
        <v>64608</v>
      </c>
      <c r="AA50" s="5">
        <v>15396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0</v>
      </c>
      <c r="AM50" s="5">
        <v>0</v>
      </c>
      <c r="AN50" s="5">
        <v>0</v>
      </c>
      <c r="AO50" s="5">
        <v>0</v>
      </c>
      <c r="AP50" s="5">
        <v>0</v>
      </c>
      <c r="AQ50" s="5">
        <v>0</v>
      </c>
      <c r="AR50" s="5">
        <v>80004</v>
      </c>
      <c r="AS50" s="5">
        <v>361596</v>
      </c>
      <c r="AT50" s="5"/>
      <c r="AU50" s="5"/>
      <c r="AV50" s="5"/>
      <c r="AW50" s="5"/>
      <c r="AX50" s="5"/>
      <c r="AY50" s="5"/>
      <c r="AZ50" s="5"/>
      <c r="BA50" s="5"/>
      <c r="BB50" s="5"/>
    </row>
    <row r="51" spans="1:54" x14ac:dyDescent="0.15">
      <c r="A51" s="5">
        <v>400</v>
      </c>
      <c r="B51" s="5"/>
      <c r="C51" s="5">
        <v>694</v>
      </c>
      <c r="D51" s="5" t="s">
        <v>244</v>
      </c>
      <c r="E51" s="5">
        <v>510000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510000</v>
      </c>
      <c r="S51" s="5">
        <v>0</v>
      </c>
      <c r="T51" s="5">
        <v>510000</v>
      </c>
      <c r="U51" s="5">
        <v>26520</v>
      </c>
      <c r="V51" s="5">
        <v>4335</v>
      </c>
      <c r="W51" s="5">
        <v>46665</v>
      </c>
      <c r="X51" s="5">
        <v>0</v>
      </c>
      <c r="Y51" s="5">
        <v>0</v>
      </c>
      <c r="Z51" s="5">
        <v>77520</v>
      </c>
      <c r="AA51" s="5">
        <v>17662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5">
        <v>0</v>
      </c>
      <c r="AK51" s="5">
        <v>0</v>
      </c>
      <c r="AL51" s="5">
        <v>0</v>
      </c>
      <c r="AM51" s="5">
        <v>0</v>
      </c>
      <c r="AN51" s="5">
        <v>0</v>
      </c>
      <c r="AO51" s="5">
        <v>0</v>
      </c>
      <c r="AP51" s="5">
        <v>0</v>
      </c>
      <c r="AQ51" s="5">
        <v>0</v>
      </c>
      <c r="AR51" s="5">
        <v>95182</v>
      </c>
      <c r="AS51" s="5">
        <v>414818</v>
      </c>
      <c r="AT51" s="5"/>
      <c r="AU51" s="5"/>
      <c r="AV51" s="5"/>
      <c r="AW51" s="5"/>
      <c r="AX51" s="5"/>
      <c r="AY51" s="5"/>
      <c r="AZ51" s="5"/>
      <c r="BA51" s="5"/>
      <c r="BB51" s="5"/>
    </row>
    <row r="52" spans="1:54" x14ac:dyDescent="0.15">
      <c r="A52" s="5">
        <v>300</v>
      </c>
      <c r="B52" s="5">
        <v>30</v>
      </c>
      <c r="C52" s="5">
        <v>697</v>
      </c>
      <c r="D52" s="5" t="s">
        <v>235</v>
      </c>
      <c r="E52" s="5">
        <v>32000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32000</v>
      </c>
      <c r="S52" s="5">
        <v>0</v>
      </c>
      <c r="T52" s="5">
        <v>32000</v>
      </c>
      <c r="U52" s="5">
        <v>1664</v>
      </c>
      <c r="V52" s="5">
        <v>0</v>
      </c>
      <c r="W52" s="5">
        <v>0</v>
      </c>
      <c r="X52" s="5">
        <v>0</v>
      </c>
      <c r="Y52" s="5">
        <v>96</v>
      </c>
      <c r="Z52" s="5">
        <v>1760</v>
      </c>
      <c r="AA52" s="5">
        <v>1235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5">
        <v>0</v>
      </c>
      <c r="AK52" s="5">
        <v>0</v>
      </c>
      <c r="AL52" s="5">
        <v>0</v>
      </c>
      <c r="AM52" s="5">
        <v>0</v>
      </c>
      <c r="AN52" s="5">
        <v>0</v>
      </c>
      <c r="AO52" s="5">
        <v>0</v>
      </c>
      <c r="AP52" s="5">
        <v>0</v>
      </c>
      <c r="AQ52" s="5">
        <v>0</v>
      </c>
      <c r="AR52" s="5">
        <v>2995</v>
      </c>
      <c r="AS52" s="5">
        <v>29005</v>
      </c>
      <c r="AT52" s="5"/>
      <c r="AU52" s="5"/>
      <c r="AV52" s="5"/>
      <c r="AW52" s="5"/>
      <c r="AX52" s="5"/>
      <c r="AY52" s="5"/>
      <c r="AZ52" s="5"/>
      <c r="BA52" s="5"/>
      <c r="BB52" s="5"/>
    </row>
    <row r="53" spans="1:54" x14ac:dyDescent="0.15">
      <c r="A53" s="5">
        <v>200</v>
      </c>
      <c r="B53" s="5">
        <v>20</v>
      </c>
      <c r="C53" s="5">
        <v>700</v>
      </c>
      <c r="D53" s="5" t="s">
        <v>200</v>
      </c>
      <c r="E53" s="5">
        <v>330000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330000</v>
      </c>
      <c r="S53" s="5">
        <v>0</v>
      </c>
      <c r="T53" s="5">
        <v>330000</v>
      </c>
      <c r="U53" s="5">
        <v>17160</v>
      </c>
      <c r="V53" s="5">
        <v>0</v>
      </c>
      <c r="W53" s="5">
        <v>30195</v>
      </c>
      <c r="X53" s="5">
        <v>0</v>
      </c>
      <c r="Y53" s="5">
        <v>990</v>
      </c>
      <c r="Z53" s="5">
        <v>48345</v>
      </c>
      <c r="AA53" s="5">
        <v>5751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5">
        <v>0</v>
      </c>
      <c r="AK53" s="5">
        <v>0</v>
      </c>
      <c r="AL53" s="5">
        <v>0</v>
      </c>
      <c r="AM53" s="5">
        <v>0</v>
      </c>
      <c r="AN53" s="5">
        <v>0</v>
      </c>
      <c r="AO53" s="5">
        <v>0</v>
      </c>
      <c r="AP53" s="5">
        <v>0</v>
      </c>
      <c r="AQ53" s="5">
        <v>0</v>
      </c>
      <c r="AR53" s="5">
        <v>54096</v>
      </c>
      <c r="AS53" s="5">
        <v>275904</v>
      </c>
      <c r="AT53" s="5"/>
      <c r="AU53" s="5"/>
      <c r="AV53" s="5"/>
      <c r="AW53" s="5"/>
      <c r="AX53" s="5"/>
      <c r="AY53" s="5"/>
      <c r="AZ53" s="5"/>
      <c r="BA53" s="5"/>
      <c r="BB53" s="5"/>
    </row>
    <row r="54" spans="1:54" x14ac:dyDescent="0.15">
      <c r="A54" s="5">
        <v>200</v>
      </c>
      <c r="B54" s="5">
        <v>10</v>
      </c>
      <c r="C54" s="5">
        <v>701</v>
      </c>
      <c r="D54" s="5" t="s">
        <v>191</v>
      </c>
      <c r="E54" s="5">
        <v>330000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330000</v>
      </c>
      <c r="S54" s="5">
        <v>0</v>
      </c>
      <c r="T54" s="5">
        <v>330000</v>
      </c>
      <c r="U54" s="5">
        <v>17160</v>
      </c>
      <c r="V54" s="5">
        <v>0</v>
      </c>
      <c r="W54" s="5">
        <v>30195</v>
      </c>
      <c r="X54" s="5">
        <v>0</v>
      </c>
      <c r="Y54" s="5">
        <v>990</v>
      </c>
      <c r="Z54" s="5">
        <v>48345</v>
      </c>
      <c r="AA54" s="5">
        <v>11502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5">
        <v>0</v>
      </c>
      <c r="AK54" s="5">
        <v>0</v>
      </c>
      <c r="AL54" s="5">
        <v>0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59847</v>
      </c>
      <c r="AS54" s="5">
        <v>270153</v>
      </c>
      <c r="AT54" s="5"/>
      <c r="AU54" s="5"/>
      <c r="AV54" s="5"/>
      <c r="AW54" s="5"/>
      <c r="AX54" s="5"/>
      <c r="AY54" s="5"/>
      <c r="AZ54" s="5"/>
      <c r="BA54" s="5"/>
      <c r="BB54" s="5"/>
    </row>
    <row r="55" spans="1:54" x14ac:dyDescent="0.15">
      <c r="A55" s="5">
        <v>300</v>
      </c>
      <c r="B55" s="5">
        <v>10</v>
      </c>
      <c r="C55" s="5">
        <v>703</v>
      </c>
      <c r="D55" s="5" t="s">
        <v>215</v>
      </c>
      <c r="E55" s="5">
        <v>321400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321400</v>
      </c>
      <c r="S55" s="5">
        <v>0</v>
      </c>
      <c r="T55" s="5">
        <v>321400</v>
      </c>
      <c r="U55" s="5">
        <v>16692</v>
      </c>
      <c r="V55" s="5">
        <v>2728</v>
      </c>
      <c r="W55" s="5">
        <v>29371</v>
      </c>
      <c r="X55" s="5">
        <v>0</v>
      </c>
      <c r="Y55" s="5">
        <v>964</v>
      </c>
      <c r="Z55" s="5">
        <v>49755</v>
      </c>
      <c r="AA55" s="5">
        <v>5546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5">
        <v>0</v>
      </c>
      <c r="AK55" s="5">
        <v>0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55301</v>
      </c>
      <c r="AS55" s="5">
        <v>266099</v>
      </c>
      <c r="AT55" s="5"/>
      <c r="AU55" s="5"/>
      <c r="AV55" s="5"/>
      <c r="AW55" s="5"/>
      <c r="AX55" s="5"/>
      <c r="AY55" s="5"/>
      <c r="AZ55" s="5"/>
      <c r="BA55" s="5"/>
      <c r="BB55" s="5"/>
    </row>
    <row r="56" spans="1:54" x14ac:dyDescent="0.15">
      <c r="A56" s="5">
        <v>300</v>
      </c>
      <c r="B56" s="5">
        <v>50</v>
      </c>
      <c r="C56" s="5">
        <v>705</v>
      </c>
      <c r="D56" s="5" t="s">
        <v>228</v>
      </c>
      <c r="E56" s="5">
        <v>381900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381900</v>
      </c>
      <c r="S56" s="5">
        <v>0</v>
      </c>
      <c r="T56" s="5">
        <v>381900</v>
      </c>
      <c r="U56" s="5">
        <v>19812</v>
      </c>
      <c r="V56" s="5">
        <v>0</v>
      </c>
      <c r="W56" s="5">
        <v>34861</v>
      </c>
      <c r="X56" s="5">
        <v>0</v>
      </c>
      <c r="Y56" s="5">
        <v>1146</v>
      </c>
      <c r="Z56" s="5">
        <v>55819</v>
      </c>
      <c r="AA56" s="5">
        <v>13317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5">
        <v>0</v>
      </c>
      <c r="AK56" s="5">
        <v>0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69136</v>
      </c>
      <c r="AS56" s="5">
        <v>312764</v>
      </c>
      <c r="AT56" s="5"/>
      <c r="AU56" s="5"/>
      <c r="AV56" s="5"/>
      <c r="AW56" s="5"/>
      <c r="AX56" s="5"/>
      <c r="AY56" s="5"/>
      <c r="AZ56" s="5"/>
      <c r="BA56" s="5"/>
      <c r="BB56" s="5"/>
    </row>
    <row r="57" spans="1:54" x14ac:dyDescent="0.15">
      <c r="A57" s="5">
        <v>300</v>
      </c>
      <c r="B57" s="5">
        <v>30</v>
      </c>
      <c r="C57" s="5">
        <v>707</v>
      </c>
      <c r="D57" s="5" t="s">
        <v>229</v>
      </c>
      <c r="E57" s="5">
        <v>400000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400000</v>
      </c>
      <c r="S57" s="5">
        <v>0</v>
      </c>
      <c r="T57" s="5">
        <v>400000</v>
      </c>
      <c r="U57" s="5">
        <v>20800</v>
      </c>
      <c r="V57" s="5">
        <v>0</v>
      </c>
      <c r="W57" s="5">
        <v>36600</v>
      </c>
      <c r="X57" s="5">
        <v>0</v>
      </c>
      <c r="Y57" s="5">
        <v>1200</v>
      </c>
      <c r="Z57" s="5">
        <v>58600</v>
      </c>
      <c r="AA57" s="5">
        <v>13942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72542</v>
      </c>
      <c r="AS57" s="5">
        <v>327458</v>
      </c>
      <c r="AT57" s="5"/>
      <c r="AU57" s="5"/>
      <c r="AV57" s="5"/>
      <c r="AW57" s="5"/>
      <c r="AX57" s="5"/>
      <c r="AY57" s="5"/>
      <c r="AZ57" s="5"/>
      <c r="BA57" s="5"/>
      <c r="BB57" s="5"/>
    </row>
    <row r="58" spans="1:54" x14ac:dyDescent="0.15">
      <c r="A58" s="5">
        <v>300</v>
      </c>
      <c r="B58" s="5">
        <v>30</v>
      </c>
      <c r="C58" s="5">
        <v>708</v>
      </c>
      <c r="D58" s="5" t="s">
        <v>230</v>
      </c>
      <c r="E58" s="5">
        <v>305000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305000</v>
      </c>
      <c r="S58" s="5">
        <v>0</v>
      </c>
      <c r="T58" s="5">
        <v>305000</v>
      </c>
      <c r="U58" s="5">
        <v>15860</v>
      </c>
      <c r="V58" s="5">
        <v>0</v>
      </c>
      <c r="W58" s="5">
        <v>27907</v>
      </c>
      <c r="X58" s="5">
        <v>0</v>
      </c>
      <c r="Y58" s="5">
        <v>915</v>
      </c>
      <c r="Z58" s="5">
        <v>44682</v>
      </c>
      <c r="AA58" s="5">
        <v>10631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5">
        <v>0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55313</v>
      </c>
      <c r="AS58" s="5">
        <v>249687</v>
      </c>
      <c r="AT58" s="5"/>
      <c r="AU58" s="5"/>
      <c r="AV58" s="5"/>
      <c r="AW58" s="5"/>
      <c r="AX58" s="5"/>
      <c r="AY58" s="5"/>
      <c r="AZ58" s="5"/>
      <c r="BA58" s="5"/>
      <c r="BB58" s="5"/>
    </row>
    <row r="59" spans="1:54" x14ac:dyDescent="0.15">
      <c r="A59" s="5">
        <v>300</v>
      </c>
      <c r="B59" s="5">
        <v>10</v>
      </c>
      <c r="C59" s="5">
        <v>709</v>
      </c>
      <c r="D59" s="5" t="s">
        <v>216</v>
      </c>
      <c r="E59" s="5">
        <v>341000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341000</v>
      </c>
      <c r="S59" s="5">
        <v>0</v>
      </c>
      <c r="T59" s="5">
        <v>341000</v>
      </c>
      <c r="U59" s="5">
        <v>17732</v>
      </c>
      <c r="V59" s="5">
        <v>0</v>
      </c>
      <c r="W59" s="5">
        <v>31201</v>
      </c>
      <c r="X59" s="5">
        <v>0</v>
      </c>
      <c r="Y59" s="5">
        <v>1023</v>
      </c>
      <c r="Z59" s="5">
        <v>49956</v>
      </c>
      <c r="AA59" s="5">
        <v>11886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61842</v>
      </c>
      <c r="AS59" s="5">
        <v>279158</v>
      </c>
      <c r="AT59" s="5"/>
      <c r="AU59" s="5"/>
      <c r="AV59" s="5"/>
      <c r="AW59" s="5"/>
      <c r="AX59" s="5"/>
      <c r="AY59" s="5"/>
      <c r="AZ59" s="5"/>
      <c r="BA59" s="5"/>
      <c r="BB59" s="5"/>
    </row>
    <row r="60" spans="1:54" x14ac:dyDescent="0.15">
      <c r="A60" s="5">
        <v>200</v>
      </c>
      <c r="B60" s="5">
        <v>10</v>
      </c>
      <c r="C60" s="5">
        <v>710</v>
      </c>
      <c r="D60" s="5" t="s">
        <v>184</v>
      </c>
      <c r="E60" s="5">
        <v>285000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285000</v>
      </c>
      <c r="S60" s="5">
        <v>0</v>
      </c>
      <c r="T60" s="5">
        <v>285000</v>
      </c>
      <c r="U60" s="5">
        <v>14820</v>
      </c>
      <c r="V60" s="5">
        <v>2422</v>
      </c>
      <c r="W60" s="5">
        <v>26077</v>
      </c>
      <c r="X60" s="5">
        <v>0</v>
      </c>
      <c r="Y60" s="5">
        <v>855</v>
      </c>
      <c r="Z60" s="5">
        <v>44174</v>
      </c>
      <c r="AA60" s="5">
        <v>9835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54009</v>
      </c>
      <c r="AS60" s="5">
        <v>230991</v>
      </c>
      <c r="AT60" s="5"/>
      <c r="AU60" s="5"/>
      <c r="AV60" s="5"/>
      <c r="AW60" s="5"/>
      <c r="AX60" s="5"/>
      <c r="AY60" s="5"/>
      <c r="AZ60" s="5"/>
      <c r="BA60" s="5"/>
      <c r="BB60" s="5"/>
    </row>
    <row r="61" spans="1:54" x14ac:dyDescent="0.15">
      <c r="A61" s="5">
        <v>300</v>
      </c>
      <c r="B61" s="5">
        <v>10</v>
      </c>
      <c r="C61" s="5">
        <v>711</v>
      </c>
      <c r="D61" s="5" t="s">
        <v>217</v>
      </c>
      <c r="E61" s="5">
        <v>334400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334400</v>
      </c>
      <c r="S61" s="5">
        <v>0</v>
      </c>
      <c r="T61" s="5">
        <v>334400</v>
      </c>
      <c r="U61" s="5">
        <v>17368</v>
      </c>
      <c r="V61" s="5">
        <v>0</v>
      </c>
      <c r="W61" s="5">
        <v>30561</v>
      </c>
      <c r="X61" s="5">
        <v>0</v>
      </c>
      <c r="Y61" s="5">
        <v>1003</v>
      </c>
      <c r="Z61" s="5">
        <v>48932</v>
      </c>
      <c r="AA61" s="5">
        <v>11658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60590</v>
      </c>
      <c r="AS61" s="5">
        <v>273810</v>
      </c>
      <c r="AT61" s="5"/>
      <c r="AU61" s="5"/>
      <c r="AV61" s="5"/>
      <c r="AW61" s="5"/>
      <c r="AX61" s="5"/>
      <c r="AY61" s="5"/>
      <c r="AZ61" s="5"/>
      <c r="BA61" s="5"/>
      <c r="BB61" s="5"/>
    </row>
    <row r="62" spans="1:54" x14ac:dyDescent="0.15">
      <c r="A62" s="5">
        <v>300</v>
      </c>
      <c r="B62" s="5">
        <v>30</v>
      </c>
      <c r="C62" s="5">
        <v>712</v>
      </c>
      <c r="D62" s="5" t="s">
        <v>266</v>
      </c>
      <c r="E62" s="5">
        <v>100000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100000</v>
      </c>
      <c r="S62" s="5">
        <v>0</v>
      </c>
      <c r="T62" s="5">
        <v>100000</v>
      </c>
      <c r="U62" s="5">
        <v>5200</v>
      </c>
      <c r="V62" s="5">
        <v>0</v>
      </c>
      <c r="W62" s="5">
        <v>9150</v>
      </c>
      <c r="X62" s="5">
        <v>0</v>
      </c>
      <c r="Y62" s="5">
        <v>300</v>
      </c>
      <c r="Z62" s="5">
        <v>14650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14650</v>
      </c>
      <c r="AS62" s="5">
        <v>85350</v>
      </c>
      <c r="AT62" s="5"/>
      <c r="AU62" s="5"/>
      <c r="AV62" s="5"/>
      <c r="AW62" s="5"/>
      <c r="AX62" s="5"/>
      <c r="AY62" s="5"/>
      <c r="AZ62" s="5"/>
      <c r="BA62" s="5"/>
      <c r="BB62" s="5"/>
    </row>
    <row r="63" spans="1:54" x14ac:dyDescent="0.15">
      <c r="A63" s="5">
        <v>200</v>
      </c>
      <c r="B63" s="5">
        <v>10</v>
      </c>
      <c r="C63" s="5">
        <v>714</v>
      </c>
      <c r="D63" s="5" t="s">
        <v>192</v>
      </c>
      <c r="E63" s="5">
        <v>75000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75000</v>
      </c>
      <c r="S63" s="5">
        <v>0</v>
      </c>
      <c r="T63" s="5">
        <v>75000</v>
      </c>
      <c r="U63" s="5">
        <v>3900</v>
      </c>
      <c r="V63" s="5">
        <v>637</v>
      </c>
      <c r="W63" s="5">
        <v>6862</v>
      </c>
      <c r="X63" s="5">
        <v>0</v>
      </c>
      <c r="Y63" s="5">
        <v>225</v>
      </c>
      <c r="Z63" s="5">
        <v>11624</v>
      </c>
      <c r="AA63" s="5">
        <v>2588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14212</v>
      </c>
      <c r="AS63" s="5">
        <v>60788</v>
      </c>
      <c r="AT63" s="5"/>
      <c r="AU63" s="5"/>
      <c r="AV63" s="5"/>
      <c r="AW63" s="5"/>
      <c r="AX63" s="5"/>
      <c r="AY63" s="5"/>
      <c r="AZ63" s="5"/>
      <c r="BA63" s="5"/>
      <c r="BB63" s="5"/>
    </row>
    <row r="64" spans="1:54" x14ac:dyDescent="0.15">
      <c r="A64" s="5">
        <v>200</v>
      </c>
      <c r="B64" s="5">
        <v>10</v>
      </c>
      <c r="C64" s="5">
        <v>715</v>
      </c>
      <c r="D64" s="5" t="s">
        <v>185</v>
      </c>
      <c r="E64" s="5">
        <v>326300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326300</v>
      </c>
      <c r="S64" s="5">
        <v>0</v>
      </c>
      <c r="T64" s="5">
        <v>326300</v>
      </c>
      <c r="U64" s="5">
        <v>16952</v>
      </c>
      <c r="V64" s="5">
        <v>2771</v>
      </c>
      <c r="W64" s="5">
        <v>29829</v>
      </c>
      <c r="X64" s="5">
        <v>0</v>
      </c>
      <c r="Y64" s="5">
        <v>979</v>
      </c>
      <c r="Z64" s="5">
        <v>50531</v>
      </c>
      <c r="AA64" s="5">
        <v>5631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5">
        <v>0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56162</v>
      </c>
      <c r="AS64" s="5">
        <v>270138</v>
      </c>
      <c r="AT64" s="5"/>
      <c r="AU64" s="5"/>
      <c r="AV64" s="5"/>
      <c r="AW64" s="5"/>
      <c r="AX64" s="5"/>
      <c r="AY64" s="5"/>
      <c r="AZ64" s="5"/>
      <c r="BA64" s="5"/>
      <c r="BB64" s="5"/>
    </row>
    <row r="65" spans="1:54" x14ac:dyDescent="0.15">
      <c r="A65" s="5">
        <v>300</v>
      </c>
      <c r="B65" s="5">
        <v>10</v>
      </c>
      <c r="C65" s="5">
        <v>716</v>
      </c>
      <c r="D65" s="5" t="s">
        <v>223</v>
      </c>
      <c r="E65" s="5">
        <v>401100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401100</v>
      </c>
      <c r="S65" s="5">
        <v>0</v>
      </c>
      <c r="T65" s="5">
        <v>401100</v>
      </c>
      <c r="U65" s="5">
        <v>20852</v>
      </c>
      <c r="V65" s="5">
        <v>0</v>
      </c>
      <c r="W65" s="5">
        <v>36691</v>
      </c>
      <c r="X65" s="5">
        <v>0</v>
      </c>
      <c r="Y65" s="5">
        <v>1203</v>
      </c>
      <c r="Z65" s="5">
        <v>58746</v>
      </c>
      <c r="AA65" s="5">
        <v>13981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72727</v>
      </c>
      <c r="AS65" s="5">
        <v>328373</v>
      </c>
      <c r="AT65" s="5"/>
      <c r="AU65" s="5"/>
      <c r="AV65" s="5"/>
      <c r="AW65" s="5"/>
      <c r="AX65" s="5"/>
      <c r="AY65" s="5"/>
      <c r="AZ65" s="5"/>
      <c r="BA65" s="5"/>
      <c r="BB65" s="5"/>
    </row>
    <row r="66" spans="1:54" x14ac:dyDescent="0.15">
      <c r="A66" s="5">
        <v>200</v>
      </c>
      <c r="B66" s="5">
        <v>10</v>
      </c>
      <c r="C66" s="5">
        <v>717</v>
      </c>
      <c r="D66" s="5" t="s">
        <v>186</v>
      </c>
      <c r="E66" s="5">
        <v>245000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245000</v>
      </c>
      <c r="S66" s="5">
        <v>0</v>
      </c>
      <c r="T66" s="5">
        <v>245000</v>
      </c>
      <c r="U66" s="5">
        <v>12740</v>
      </c>
      <c r="V66" s="5">
        <v>2082</v>
      </c>
      <c r="W66" s="5">
        <v>22417</v>
      </c>
      <c r="X66" s="5">
        <v>0</v>
      </c>
      <c r="Y66" s="5">
        <v>735</v>
      </c>
      <c r="Z66" s="5">
        <v>37974</v>
      </c>
      <c r="AA66" s="5">
        <v>8454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46428</v>
      </c>
      <c r="AS66" s="5">
        <v>198572</v>
      </c>
      <c r="AT66" s="5"/>
      <c r="AU66" s="5"/>
      <c r="AV66" s="5"/>
      <c r="AW66" s="5"/>
      <c r="AX66" s="5"/>
      <c r="AY66" s="5"/>
      <c r="AZ66" s="5"/>
      <c r="BA66" s="5"/>
      <c r="BB66" s="5"/>
    </row>
    <row r="67" spans="1:54" x14ac:dyDescent="0.15">
      <c r="A67" s="5">
        <v>200</v>
      </c>
      <c r="B67" s="5">
        <v>20</v>
      </c>
      <c r="C67" s="5">
        <v>719</v>
      </c>
      <c r="D67" s="5" t="s">
        <v>198</v>
      </c>
      <c r="E67" s="5">
        <v>384400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384400</v>
      </c>
      <c r="S67" s="5">
        <v>0</v>
      </c>
      <c r="T67" s="5">
        <v>384400</v>
      </c>
      <c r="U67" s="5">
        <v>19968</v>
      </c>
      <c r="V67" s="5">
        <v>0</v>
      </c>
      <c r="W67" s="5">
        <v>35136</v>
      </c>
      <c r="X67" s="5">
        <v>0</v>
      </c>
      <c r="Y67" s="5">
        <v>1153</v>
      </c>
      <c r="Z67" s="5">
        <v>56257</v>
      </c>
      <c r="AA67" s="5">
        <v>13401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5">
        <v>0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69658</v>
      </c>
      <c r="AS67" s="5">
        <v>314742</v>
      </c>
      <c r="AT67" s="5"/>
      <c r="AU67" s="5"/>
      <c r="AV67" s="5"/>
      <c r="AW67" s="5"/>
      <c r="AX67" s="5"/>
      <c r="AY67" s="5"/>
      <c r="AZ67" s="5"/>
      <c r="BA67" s="5"/>
      <c r="BB67" s="5"/>
    </row>
    <row r="68" spans="1:54" x14ac:dyDescent="0.15">
      <c r="A68" s="5">
        <v>300</v>
      </c>
      <c r="B68" s="5">
        <v>40</v>
      </c>
      <c r="C68" s="5">
        <v>723</v>
      </c>
      <c r="D68" s="5" t="s">
        <v>240</v>
      </c>
      <c r="E68" s="5">
        <v>30000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30000</v>
      </c>
      <c r="S68" s="5">
        <v>0</v>
      </c>
      <c r="T68" s="5">
        <v>30000</v>
      </c>
      <c r="U68" s="5">
        <v>1560</v>
      </c>
      <c r="V68" s="5">
        <v>255</v>
      </c>
      <c r="W68" s="5">
        <v>2745</v>
      </c>
      <c r="X68" s="5">
        <v>0</v>
      </c>
      <c r="Y68" s="5">
        <v>90</v>
      </c>
      <c r="Z68" s="5">
        <v>4650</v>
      </c>
      <c r="AA68" s="5">
        <v>1035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5">
        <v>0</v>
      </c>
      <c r="AK68" s="5">
        <v>0</v>
      </c>
      <c r="AL68" s="5">
        <v>0</v>
      </c>
      <c r="AM68" s="5">
        <v>0</v>
      </c>
      <c r="AN68" s="5">
        <v>0</v>
      </c>
      <c r="AO68" s="5">
        <v>0</v>
      </c>
      <c r="AP68" s="5">
        <v>0</v>
      </c>
      <c r="AQ68" s="5">
        <v>0</v>
      </c>
      <c r="AR68" s="5">
        <v>5685</v>
      </c>
      <c r="AS68" s="5">
        <v>24315</v>
      </c>
      <c r="AT68" s="5"/>
      <c r="AU68" s="5"/>
      <c r="AV68" s="5"/>
      <c r="AW68" s="5"/>
      <c r="AX68" s="5"/>
      <c r="AY68" s="5"/>
      <c r="AZ68" s="5"/>
      <c r="BA68" s="5"/>
      <c r="BB68" s="5"/>
    </row>
    <row r="69" spans="1:54" x14ac:dyDescent="0.15">
      <c r="A69" s="5">
        <v>300</v>
      </c>
      <c r="B69" s="5">
        <v>10</v>
      </c>
      <c r="C69" s="5">
        <v>724</v>
      </c>
      <c r="D69" s="5" t="s">
        <v>218</v>
      </c>
      <c r="E69" s="5">
        <v>315200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315200</v>
      </c>
      <c r="S69" s="5">
        <v>0</v>
      </c>
      <c r="T69" s="5">
        <v>315200</v>
      </c>
      <c r="U69" s="5">
        <v>16380</v>
      </c>
      <c r="V69" s="5">
        <v>0</v>
      </c>
      <c r="W69" s="5">
        <v>28822</v>
      </c>
      <c r="X69" s="5">
        <v>0</v>
      </c>
      <c r="Y69" s="5">
        <v>946</v>
      </c>
      <c r="Z69" s="5">
        <v>46148</v>
      </c>
      <c r="AA69" s="5">
        <v>10988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5">
        <v>0</v>
      </c>
      <c r="AK69" s="5">
        <v>0</v>
      </c>
      <c r="AL69" s="5">
        <v>0</v>
      </c>
      <c r="AM69" s="5">
        <v>0</v>
      </c>
      <c r="AN69" s="5">
        <v>0</v>
      </c>
      <c r="AO69" s="5">
        <v>0</v>
      </c>
      <c r="AP69" s="5">
        <v>0</v>
      </c>
      <c r="AQ69" s="5">
        <v>0</v>
      </c>
      <c r="AR69" s="5">
        <v>57136</v>
      </c>
      <c r="AS69" s="5">
        <v>258064</v>
      </c>
      <c r="AT69" s="5"/>
      <c r="AU69" s="5"/>
      <c r="AV69" s="5"/>
      <c r="AW69" s="5"/>
      <c r="AX69" s="5"/>
      <c r="AY69" s="5"/>
      <c r="AZ69" s="5"/>
      <c r="BA69" s="5"/>
      <c r="BB69" s="5"/>
    </row>
    <row r="70" spans="1:54" x14ac:dyDescent="0.15">
      <c r="A70" s="5">
        <v>300</v>
      </c>
      <c r="B70" s="5">
        <v>30</v>
      </c>
      <c r="C70" s="5">
        <v>726</v>
      </c>
      <c r="D70" s="5" t="s">
        <v>231</v>
      </c>
      <c r="E70" s="5">
        <v>36000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36000</v>
      </c>
      <c r="S70" s="5">
        <v>0</v>
      </c>
      <c r="T70" s="5">
        <v>36000</v>
      </c>
      <c r="U70" s="5">
        <v>1872</v>
      </c>
      <c r="V70" s="5">
        <v>0</v>
      </c>
      <c r="W70" s="5">
        <v>3294</v>
      </c>
      <c r="X70" s="5">
        <v>0</v>
      </c>
      <c r="Y70" s="5">
        <v>108</v>
      </c>
      <c r="Z70" s="5">
        <v>5274</v>
      </c>
      <c r="AA70" s="5">
        <v>1254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5">
        <v>0</v>
      </c>
      <c r="AK70" s="5">
        <v>0</v>
      </c>
      <c r="AL70" s="5">
        <v>0</v>
      </c>
      <c r="AM70" s="5">
        <v>0</v>
      </c>
      <c r="AN70" s="5">
        <v>0</v>
      </c>
      <c r="AO70" s="5">
        <v>0</v>
      </c>
      <c r="AP70" s="5">
        <v>0</v>
      </c>
      <c r="AQ70" s="5">
        <v>0</v>
      </c>
      <c r="AR70" s="5">
        <v>6528</v>
      </c>
      <c r="AS70" s="5">
        <v>29472</v>
      </c>
      <c r="AT70" s="5"/>
      <c r="AU70" s="5"/>
      <c r="AV70" s="5"/>
      <c r="AW70" s="5"/>
      <c r="AX70" s="5"/>
      <c r="AY70" s="5"/>
      <c r="AZ70" s="5"/>
      <c r="BA70" s="5"/>
      <c r="BB70" s="5"/>
    </row>
    <row r="71" spans="1:54" x14ac:dyDescent="0.15">
      <c r="A71" s="5">
        <v>200</v>
      </c>
      <c r="B71" s="5">
        <v>10</v>
      </c>
      <c r="C71" s="5">
        <v>727</v>
      </c>
      <c r="D71" s="5" t="s">
        <v>193</v>
      </c>
      <c r="E71" s="5">
        <v>27700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27700</v>
      </c>
      <c r="S71" s="5">
        <v>0</v>
      </c>
      <c r="T71" s="5">
        <v>27700</v>
      </c>
      <c r="U71" s="5">
        <v>1404</v>
      </c>
      <c r="V71" s="5">
        <v>229</v>
      </c>
      <c r="W71" s="5">
        <v>2470</v>
      </c>
      <c r="X71" s="5">
        <v>0</v>
      </c>
      <c r="Y71" s="5">
        <v>83</v>
      </c>
      <c r="Z71" s="5">
        <v>4186</v>
      </c>
      <c r="AA71" s="5">
        <v>960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5">
        <v>0</v>
      </c>
      <c r="AK71" s="5">
        <v>0</v>
      </c>
      <c r="AL71" s="5">
        <v>0</v>
      </c>
      <c r="AM71" s="5">
        <v>0</v>
      </c>
      <c r="AN71" s="5">
        <v>0</v>
      </c>
      <c r="AO71" s="5">
        <v>0</v>
      </c>
      <c r="AP71" s="5">
        <v>0</v>
      </c>
      <c r="AQ71" s="5">
        <v>0</v>
      </c>
      <c r="AR71" s="5">
        <v>5146</v>
      </c>
      <c r="AS71" s="5">
        <v>22554</v>
      </c>
      <c r="AT71" s="5"/>
      <c r="AU71" s="5"/>
      <c r="AV71" s="5"/>
      <c r="AW71" s="5"/>
      <c r="AX71" s="5"/>
      <c r="AY71" s="5"/>
      <c r="AZ71" s="5"/>
      <c r="BA71" s="5"/>
      <c r="BB71" s="5"/>
    </row>
    <row r="72" spans="1:54" x14ac:dyDescent="0.15">
      <c r="A72" s="5">
        <v>200</v>
      </c>
      <c r="B72" s="5">
        <v>20</v>
      </c>
      <c r="C72" s="5">
        <v>728</v>
      </c>
      <c r="D72" s="5" t="s">
        <v>203</v>
      </c>
      <c r="E72" s="5">
        <v>33000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33000</v>
      </c>
      <c r="S72" s="5">
        <v>0</v>
      </c>
      <c r="T72" s="5">
        <v>33000</v>
      </c>
      <c r="U72" s="5">
        <v>1716</v>
      </c>
      <c r="V72" s="5">
        <v>0</v>
      </c>
      <c r="W72" s="5">
        <v>3019</v>
      </c>
      <c r="X72" s="5">
        <v>0</v>
      </c>
      <c r="Y72" s="5">
        <v>99</v>
      </c>
      <c r="Z72" s="5">
        <v>4834</v>
      </c>
      <c r="AA72" s="5">
        <v>1150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5">
        <v>0</v>
      </c>
      <c r="AK72" s="5">
        <v>0</v>
      </c>
      <c r="AL72" s="5">
        <v>0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5984</v>
      </c>
      <c r="AS72" s="5">
        <v>27016</v>
      </c>
      <c r="AT72" s="5"/>
      <c r="AU72" s="5"/>
      <c r="AV72" s="5"/>
      <c r="AW72" s="5"/>
      <c r="AX72" s="5"/>
      <c r="AY72" s="5"/>
      <c r="AZ72" s="5"/>
      <c r="BA72" s="5"/>
      <c r="BB72" s="5"/>
    </row>
    <row r="73" spans="1:54" x14ac:dyDescent="0.15">
      <c r="A73" s="5">
        <v>300</v>
      </c>
      <c r="B73" s="5">
        <v>40</v>
      </c>
      <c r="C73" s="5">
        <v>729</v>
      </c>
      <c r="D73" s="5" t="s">
        <v>239</v>
      </c>
      <c r="E73" s="5">
        <v>317900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317900</v>
      </c>
      <c r="S73" s="5">
        <v>0</v>
      </c>
      <c r="T73" s="5">
        <v>317900</v>
      </c>
      <c r="U73" s="5">
        <v>16484</v>
      </c>
      <c r="V73" s="5">
        <v>2694</v>
      </c>
      <c r="W73" s="5">
        <v>29005</v>
      </c>
      <c r="X73" s="5">
        <v>0</v>
      </c>
      <c r="Y73" s="5">
        <v>954</v>
      </c>
      <c r="Z73" s="5">
        <v>49137</v>
      </c>
      <c r="AA73" s="5">
        <v>10976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5">
        <v>0</v>
      </c>
      <c r="AK73" s="5">
        <v>0</v>
      </c>
      <c r="AL73" s="5">
        <v>0</v>
      </c>
      <c r="AM73" s="5">
        <v>0</v>
      </c>
      <c r="AN73" s="5">
        <v>0</v>
      </c>
      <c r="AO73" s="5">
        <v>0</v>
      </c>
      <c r="AP73" s="5">
        <v>0</v>
      </c>
      <c r="AQ73" s="5">
        <v>0</v>
      </c>
      <c r="AR73" s="5">
        <v>60113</v>
      </c>
      <c r="AS73" s="5">
        <v>257787</v>
      </c>
      <c r="AT73" s="5"/>
      <c r="AU73" s="5"/>
      <c r="AV73" s="5"/>
      <c r="AW73" s="5"/>
      <c r="AX73" s="5"/>
      <c r="AY73" s="5"/>
      <c r="AZ73" s="5"/>
      <c r="BA73" s="5"/>
      <c r="BB73" s="5"/>
    </row>
    <row r="74" spans="1:54" x14ac:dyDescent="0.15">
      <c r="A74" s="5">
        <v>100</v>
      </c>
      <c r="B74" s="5"/>
      <c r="C74" s="5">
        <v>730</v>
      </c>
      <c r="D74" s="5" t="s">
        <v>176</v>
      </c>
      <c r="E74" s="5">
        <v>411800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411800</v>
      </c>
      <c r="S74" s="5">
        <v>0</v>
      </c>
      <c r="T74" s="5">
        <v>411800</v>
      </c>
      <c r="U74" s="5">
        <v>21372</v>
      </c>
      <c r="V74" s="5">
        <v>0</v>
      </c>
      <c r="W74" s="5">
        <v>37606</v>
      </c>
      <c r="X74" s="5">
        <v>0</v>
      </c>
      <c r="Y74" s="5">
        <v>1235</v>
      </c>
      <c r="Z74" s="5">
        <v>60213</v>
      </c>
      <c r="AA74" s="5">
        <v>14358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5">
        <v>0</v>
      </c>
      <c r="AK74" s="5">
        <v>0</v>
      </c>
      <c r="AL74" s="5">
        <v>0</v>
      </c>
      <c r="AM74" s="5">
        <v>0</v>
      </c>
      <c r="AN74" s="5">
        <v>0</v>
      </c>
      <c r="AO74" s="5">
        <v>0</v>
      </c>
      <c r="AP74" s="5">
        <v>0</v>
      </c>
      <c r="AQ74" s="5">
        <v>0</v>
      </c>
      <c r="AR74" s="5">
        <v>74571</v>
      </c>
      <c r="AS74" s="5">
        <v>337229</v>
      </c>
      <c r="AT74" s="5"/>
      <c r="AU74" s="5"/>
      <c r="AV74" s="5"/>
      <c r="AW74" s="5"/>
      <c r="AX74" s="5"/>
      <c r="AY74" s="5"/>
      <c r="AZ74" s="5"/>
      <c r="BA74" s="5"/>
      <c r="BB74" s="5"/>
    </row>
    <row r="75" spans="1:54" x14ac:dyDescent="0.15">
      <c r="A75" s="5">
        <v>200</v>
      </c>
      <c r="B75" s="5">
        <v>20</v>
      </c>
      <c r="C75" s="5">
        <v>732</v>
      </c>
      <c r="D75" s="5" t="s">
        <v>199</v>
      </c>
      <c r="E75" s="5">
        <v>536700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0</v>
      </c>
      <c r="R75" s="5">
        <v>536700</v>
      </c>
      <c r="S75" s="5">
        <v>0</v>
      </c>
      <c r="T75" s="5">
        <v>536700</v>
      </c>
      <c r="U75" s="5">
        <v>27872</v>
      </c>
      <c r="V75" s="5">
        <v>0</v>
      </c>
      <c r="W75" s="5">
        <v>49044</v>
      </c>
      <c r="X75" s="5">
        <v>0</v>
      </c>
      <c r="Y75" s="5">
        <v>1610</v>
      </c>
      <c r="Z75" s="5">
        <v>78526</v>
      </c>
      <c r="AA75" s="5">
        <v>18711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5">
        <v>0</v>
      </c>
      <c r="AK75" s="5">
        <v>0</v>
      </c>
      <c r="AL75" s="5">
        <v>0</v>
      </c>
      <c r="AM75" s="5">
        <v>0</v>
      </c>
      <c r="AN75" s="5">
        <v>0</v>
      </c>
      <c r="AO75" s="5">
        <v>0</v>
      </c>
      <c r="AP75" s="5">
        <v>0</v>
      </c>
      <c r="AQ75" s="5">
        <v>0</v>
      </c>
      <c r="AR75" s="5">
        <v>97237</v>
      </c>
      <c r="AS75" s="5">
        <v>439463</v>
      </c>
      <c r="AT75" s="5"/>
      <c r="AU75" s="5"/>
      <c r="AV75" s="5"/>
      <c r="AW75" s="5"/>
      <c r="AX75" s="5"/>
      <c r="AY75" s="5"/>
      <c r="AZ75" s="5"/>
      <c r="BA75" s="5"/>
      <c r="BB75" s="5"/>
    </row>
    <row r="76" spans="1:54" x14ac:dyDescent="0.15">
      <c r="A76" s="5">
        <v>200</v>
      </c>
      <c r="B76" s="5">
        <v>20</v>
      </c>
      <c r="C76" s="5">
        <v>733</v>
      </c>
      <c r="D76" s="5" t="s">
        <v>245</v>
      </c>
      <c r="E76" s="5">
        <v>416500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416500</v>
      </c>
      <c r="S76" s="5">
        <v>0</v>
      </c>
      <c r="T76" s="5">
        <v>416500</v>
      </c>
      <c r="U76" s="5">
        <v>21632</v>
      </c>
      <c r="V76" s="5">
        <v>0</v>
      </c>
      <c r="W76" s="5">
        <v>38064</v>
      </c>
      <c r="X76" s="5">
        <v>0</v>
      </c>
      <c r="Y76" s="5">
        <v>1249</v>
      </c>
      <c r="Z76" s="5">
        <v>60945</v>
      </c>
      <c r="AA76" s="5">
        <v>14520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5">
        <v>0</v>
      </c>
      <c r="AK76" s="5">
        <v>0</v>
      </c>
      <c r="AL76" s="5">
        <v>0</v>
      </c>
      <c r="AM76" s="5">
        <v>0</v>
      </c>
      <c r="AN76" s="5">
        <v>0</v>
      </c>
      <c r="AO76" s="5">
        <v>0</v>
      </c>
      <c r="AP76" s="5">
        <v>0</v>
      </c>
      <c r="AQ76" s="5">
        <v>0</v>
      </c>
      <c r="AR76" s="5">
        <v>75465</v>
      </c>
      <c r="AS76" s="5">
        <v>341035</v>
      </c>
      <c r="AT76" s="5"/>
      <c r="AU76" s="5"/>
      <c r="AV76" s="5"/>
      <c r="AW76" s="5"/>
      <c r="AX76" s="5"/>
      <c r="AY76" s="5"/>
      <c r="AZ76" s="5"/>
      <c r="BA76" s="5"/>
      <c r="BB76" s="5"/>
    </row>
    <row r="77" spans="1:54" x14ac:dyDescent="0.15">
      <c r="A77" s="5">
        <v>300</v>
      </c>
      <c r="B77" s="5">
        <v>30</v>
      </c>
      <c r="C77" s="5">
        <v>735</v>
      </c>
      <c r="D77" s="5" t="s">
        <v>249</v>
      </c>
      <c r="E77" s="5">
        <v>307000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307000</v>
      </c>
      <c r="S77" s="5">
        <v>0</v>
      </c>
      <c r="T77" s="5">
        <v>307000</v>
      </c>
      <c r="U77" s="5">
        <v>15964</v>
      </c>
      <c r="V77" s="5">
        <v>0</v>
      </c>
      <c r="W77" s="5">
        <v>28090</v>
      </c>
      <c r="X77" s="5">
        <v>0</v>
      </c>
      <c r="Y77" s="5">
        <v>921</v>
      </c>
      <c r="Z77" s="5">
        <v>44975</v>
      </c>
      <c r="AA77" s="5">
        <v>10701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5">
        <v>0</v>
      </c>
      <c r="AK77" s="5">
        <v>0</v>
      </c>
      <c r="AL77" s="5">
        <v>0</v>
      </c>
      <c r="AM77" s="5">
        <v>0</v>
      </c>
      <c r="AN77" s="5">
        <v>0</v>
      </c>
      <c r="AO77" s="5">
        <v>0</v>
      </c>
      <c r="AP77" s="5">
        <v>0</v>
      </c>
      <c r="AQ77" s="5">
        <v>0</v>
      </c>
      <c r="AR77" s="5">
        <v>55676</v>
      </c>
      <c r="AS77" s="5">
        <v>251324</v>
      </c>
      <c r="AT77" s="5"/>
      <c r="AU77" s="5"/>
      <c r="AV77" s="5"/>
      <c r="AW77" s="5"/>
      <c r="AX77" s="5"/>
      <c r="AY77" s="5"/>
      <c r="AZ77" s="5"/>
      <c r="BA77" s="5"/>
      <c r="BB77" s="5"/>
    </row>
    <row r="78" spans="1:54" x14ac:dyDescent="0.15">
      <c r="A78" s="5">
        <v>300</v>
      </c>
      <c r="B78" s="5">
        <v>10</v>
      </c>
      <c r="C78" s="5">
        <v>736</v>
      </c>
      <c r="D78" s="5" t="s">
        <v>255</v>
      </c>
      <c r="E78" s="5">
        <v>303000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303000</v>
      </c>
      <c r="S78" s="5">
        <v>0</v>
      </c>
      <c r="T78" s="5">
        <v>303000</v>
      </c>
      <c r="U78" s="5">
        <v>15756</v>
      </c>
      <c r="V78" s="5">
        <v>0</v>
      </c>
      <c r="W78" s="5">
        <v>27724</v>
      </c>
      <c r="X78" s="5">
        <v>0</v>
      </c>
      <c r="Y78" s="5">
        <v>909</v>
      </c>
      <c r="Z78" s="5">
        <v>44389</v>
      </c>
      <c r="AA78" s="5">
        <v>10561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5">
        <v>0</v>
      </c>
      <c r="AK78" s="5">
        <v>0</v>
      </c>
      <c r="AL78" s="5">
        <v>0</v>
      </c>
      <c r="AM78" s="5">
        <v>0</v>
      </c>
      <c r="AN78" s="5">
        <v>0</v>
      </c>
      <c r="AO78" s="5">
        <v>0</v>
      </c>
      <c r="AP78" s="5">
        <v>0</v>
      </c>
      <c r="AQ78" s="5">
        <v>0</v>
      </c>
      <c r="AR78" s="5">
        <v>54950</v>
      </c>
      <c r="AS78" s="5">
        <v>248050</v>
      </c>
      <c r="AT78" s="5"/>
      <c r="AU78" s="5"/>
      <c r="AV78" s="5"/>
      <c r="AW78" s="5"/>
      <c r="AX78" s="5"/>
      <c r="AY78" s="5"/>
      <c r="AZ78" s="5"/>
      <c r="BA78" s="5"/>
      <c r="BB78" s="5"/>
    </row>
    <row r="79" spans="1:54" x14ac:dyDescent="0.15">
      <c r="A79" s="5">
        <v>300</v>
      </c>
      <c r="B79" s="5">
        <v>30</v>
      </c>
      <c r="C79" s="5">
        <v>737</v>
      </c>
      <c r="D79" s="5" t="s">
        <v>256</v>
      </c>
      <c r="E79" s="5">
        <v>315600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315600</v>
      </c>
      <c r="S79" s="5">
        <v>0</v>
      </c>
      <c r="T79" s="5">
        <v>315600</v>
      </c>
      <c r="U79" s="5">
        <v>16380</v>
      </c>
      <c r="V79" s="5">
        <v>0</v>
      </c>
      <c r="W79" s="5">
        <v>28822</v>
      </c>
      <c r="X79" s="5">
        <v>0</v>
      </c>
      <c r="Y79" s="5">
        <v>947</v>
      </c>
      <c r="Z79" s="5">
        <v>46149</v>
      </c>
      <c r="AA79" s="5">
        <v>11004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5">
        <v>0</v>
      </c>
      <c r="AK79" s="5">
        <v>0</v>
      </c>
      <c r="AL79" s="5">
        <v>0</v>
      </c>
      <c r="AM79" s="5">
        <v>0</v>
      </c>
      <c r="AN79" s="5">
        <v>0</v>
      </c>
      <c r="AO79" s="5">
        <v>0</v>
      </c>
      <c r="AP79" s="5">
        <v>0</v>
      </c>
      <c r="AQ79" s="5">
        <v>0</v>
      </c>
      <c r="AR79" s="5">
        <v>57153</v>
      </c>
      <c r="AS79" s="5">
        <v>258447</v>
      </c>
      <c r="AT79" s="5"/>
      <c r="AU79" s="5"/>
      <c r="AV79" s="5"/>
      <c r="AW79" s="5"/>
      <c r="AX79" s="5"/>
      <c r="AY79" s="5"/>
      <c r="AZ79" s="5"/>
      <c r="BA79" s="5"/>
      <c r="BB79" s="5"/>
    </row>
    <row r="80" spans="1:54" x14ac:dyDescent="0.15">
      <c r="A80" s="5">
        <v>300</v>
      </c>
      <c r="B80" s="5">
        <v>30</v>
      </c>
      <c r="C80" s="5">
        <v>738</v>
      </c>
      <c r="D80" s="5" t="s">
        <v>257</v>
      </c>
      <c r="E80" s="5">
        <v>315600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315600</v>
      </c>
      <c r="S80" s="5">
        <v>0</v>
      </c>
      <c r="T80" s="5">
        <v>315600</v>
      </c>
      <c r="U80" s="5">
        <v>16380</v>
      </c>
      <c r="V80" s="5">
        <v>0</v>
      </c>
      <c r="W80" s="5">
        <v>28822</v>
      </c>
      <c r="X80" s="5">
        <v>0</v>
      </c>
      <c r="Y80" s="5">
        <v>947</v>
      </c>
      <c r="Z80" s="5">
        <v>46149</v>
      </c>
      <c r="AA80" s="5">
        <v>5502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5">
        <v>0</v>
      </c>
      <c r="AK80" s="5">
        <v>0</v>
      </c>
      <c r="AL80" s="5">
        <v>0</v>
      </c>
      <c r="AM80" s="5">
        <v>0</v>
      </c>
      <c r="AN80" s="5">
        <v>0</v>
      </c>
      <c r="AO80" s="5">
        <v>0</v>
      </c>
      <c r="AP80" s="5">
        <v>0</v>
      </c>
      <c r="AQ80" s="5">
        <v>0</v>
      </c>
      <c r="AR80" s="5">
        <v>51651</v>
      </c>
      <c r="AS80" s="5">
        <v>263949</v>
      </c>
      <c r="AT80" s="5"/>
      <c r="AU80" s="5"/>
      <c r="AV80" s="5"/>
      <c r="AW80" s="5"/>
      <c r="AX80" s="5"/>
      <c r="AY80" s="5"/>
      <c r="AZ80" s="5"/>
      <c r="BA80" s="5"/>
      <c r="BB80" s="5"/>
    </row>
    <row r="81" spans="1:54" x14ac:dyDescent="0.15">
      <c r="A81" s="5">
        <v>300</v>
      </c>
      <c r="B81" s="5">
        <v>40</v>
      </c>
      <c r="C81" s="5">
        <v>741</v>
      </c>
      <c r="D81" s="5" t="s">
        <v>258</v>
      </c>
      <c r="E81" s="5">
        <v>228500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228500</v>
      </c>
      <c r="S81" s="5">
        <v>0</v>
      </c>
      <c r="T81" s="5">
        <v>228500</v>
      </c>
      <c r="U81" s="5">
        <v>11856</v>
      </c>
      <c r="V81" s="5">
        <v>0</v>
      </c>
      <c r="W81" s="5">
        <v>20862</v>
      </c>
      <c r="X81" s="5">
        <v>0</v>
      </c>
      <c r="Y81" s="5">
        <v>685</v>
      </c>
      <c r="Z81" s="5">
        <v>33403</v>
      </c>
      <c r="AA81" s="5">
        <v>7967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>
        <v>0</v>
      </c>
      <c r="AL81" s="5">
        <v>0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41370</v>
      </c>
      <c r="AS81" s="5">
        <v>187130</v>
      </c>
      <c r="AT81" s="5"/>
      <c r="AU81" s="5"/>
      <c r="AV81" s="5"/>
      <c r="AW81" s="5"/>
      <c r="AX81" s="5"/>
      <c r="AY81" s="5"/>
      <c r="AZ81" s="5"/>
      <c r="BA81" s="5"/>
      <c r="BB81" s="5"/>
    </row>
    <row r="82" spans="1:54" x14ac:dyDescent="0.15">
      <c r="A82" s="5">
        <v>300</v>
      </c>
      <c r="B82" s="5">
        <v>10</v>
      </c>
      <c r="C82" s="5">
        <v>742</v>
      </c>
      <c r="D82" s="5" t="s">
        <v>206</v>
      </c>
      <c r="E82" s="5">
        <v>112000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112000</v>
      </c>
      <c r="S82" s="5">
        <v>0</v>
      </c>
      <c r="T82" s="5">
        <v>112000</v>
      </c>
      <c r="U82" s="5">
        <v>5824</v>
      </c>
      <c r="V82" s="5">
        <v>952</v>
      </c>
      <c r="W82" s="5">
        <v>10248</v>
      </c>
      <c r="X82" s="5">
        <v>0</v>
      </c>
      <c r="Y82" s="5">
        <v>336</v>
      </c>
      <c r="Z82" s="5">
        <v>17360</v>
      </c>
      <c r="AA82" s="5">
        <v>1932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5">
        <v>0</v>
      </c>
      <c r="AK82" s="5">
        <v>0</v>
      </c>
      <c r="AL82" s="5">
        <v>0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19292</v>
      </c>
      <c r="AS82" s="5">
        <v>92708</v>
      </c>
      <c r="AT82" s="5"/>
      <c r="AU82" s="5"/>
      <c r="AV82" s="5"/>
      <c r="AW82" s="5"/>
      <c r="AX82" s="5"/>
      <c r="AY82" s="5"/>
      <c r="AZ82" s="5"/>
      <c r="BA82" s="5"/>
      <c r="BB82" s="5"/>
    </row>
    <row r="83" spans="1:54" x14ac:dyDescent="0.15">
      <c r="A83" s="5">
        <v>200</v>
      </c>
      <c r="B83" s="5">
        <v>10</v>
      </c>
      <c r="C83" s="5">
        <v>743</v>
      </c>
      <c r="D83" s="5" t="s">
        <v>189</v>
      </c>
      <c r="E83" s="5">
        <v>85000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85000</v>
      </c>
      <c r="S83" s="5">
        <v>0</v>
      </c>
      <c r="T83" s="5">
        <v>85000</v>
      </c>
      <c r="U83" s="5">
        <v>4420</v>
      </c>
      <c r="V83" s="5">
        <v>722</v>
      </c>
      <c r="W83" s="5">
        <v>7777</v>
      </c>
      <c r="X83" s="5">
        <v>0</v>
      </c>
      <c r="Y83" s="5">
        <v>255</v>
      </c>
      <c r="Z83" s="5">
        <v>13174</v>
      </c>
      <c r="AA83" s="5">
        <v>1466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5">
        <v>0</v>
      </c>
      <c r="AK83" s="5">
        <v>0</v>
      </c>
      <c r="AL83" s="5">
        <v>0</v>
      </c>
      <c r="AM83" s="5">
        <v>0</v>
      </c>
      <c r="AN83" s="5">
        <v>0</v>
      </c>
      <c r="AO83" s="5">
        <v>0</v>
      </c>
      <c r="AP83" s="5">
        <v>0</v>
      </c>
      <c r="AQ83" s="5">
        <v>0</v>
      </c>
      <c r="AR83" s="5">
        <v>14640</v>
      </c>
      <c r="AS83" s="5">
        <v>70360</v>
      </c>
      <c r="AT83" s="5"/>
      <c r="AU83" s="5"/>
      <c r="AV83" s="5"/>
      <c r="AW83" s="5"/>
      <c r="AX83" s="5"/>
      <c r="AY83" s="5"/>
      <c r="AZ83" s="5"/>
      <c r="BA83" s="5"/>
      <c r="BB83" s="5"/>
    </row>
    <row r="84" spans="1:54" x14ac:dyDescent="0.15">
      <c r="A84" s="5">
        <v>200</v>
      </c>
      <c r="B84" s="5">
        <v>20</v>
      </c>
      <c r="C84" s="5">
        <v>744</v>
      </c>
      <c r="D84" s="5" t="s">
        <v>262</v>
      </c>
      <c r="E84" s="5">
        <v>20000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20000</v>
      </c>
      <c r="S84" s="5">
        <v>0</v>
      </c>
      <c r="T84" s="5">
        <v>20000</v>
      </c>
      <c r="U84" s="5">
        <v>0</v>
      </c>
      <c r="V84" s="5">
        <v>0</v>
      </c>
      <c r="W84" s="5">
        <v>0</v>
      </c>
      <c r="X84" s="5">
        <v>0</v>
      </c>
      <c r="Y84" s="5">
        <v>60</v>
      </c>
      <c r="Z84" s="5">
        <v>60</v>
      </c>
      <c r="AA84" s="5">
        <v>814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5">
        <v>0</v>
      </c>
      <c r="AK84" s="5">
        <v>0</v>
      </c>
      <c r="AL84" s="5">
        <v>0</v>
      </c>
      <c r="AM84" s="5">
        <v>0</v>
      </c>
      <c r="AN84" s="5">
        <v>0</v>
      </c>
      <c r="AO84" s="5">
        <v>0</v>
      </c>
      <c r="AP84" s="5">
        <v>0</v>
      </c>
      <c r="AQ84" s="5">
        <v>0</v>
      </c>
      <c r="AR84" s="5">
        <v>874</v>
      </c>
      <c r="AS84" s="5">
        <v>19126</v>
      </c>
      <c r="AT84" s="5"/>
      <c r="AU84" s="5"/>
      <c r="AV84" s="5"/>
      <c r="AW84" s="5"/>
      <c r="AX84" s="5"/>
      <c r="AY84" s="5"/>
      <c r="AZ84" s="5"/>
      <c r="BA84" s="5"/>
      <c r="BB84" s="5"/>
    </row>
    <row r="85" spans="1:54" x14ac:dyDescent="0.15">
      <c r="A85" s="5">
        <v>300</v>
      </c>
      <c r="B85" s="5">
        <v>50</v>
      </c>
      <c r="C85" s="5">
        <v>988</v>
      </c>
      <c r="D85" s="5" t="s">
        <v>253</v>
      </c>
      <c r="E85" s="5">
        <v>11000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11000</v>
      </c>
      <c r="S85" s="5">
        <v>0</v>
      </c>
      <c r="T85" s="5">
        <v>11000</v>
      </c>
      <c r="U85" s="5">
        <v>0</v>
      </c>
      <c r="V85" s="5">
        <v>0</v>
      </c>
      <c r="W85" s="5">
        <v>0</v>
      </c>
      <c r="X85" s="5">
        <v>0</v>
      </c>
      <c r="Y85" s="5">
        <v>0</v>
      </c>
      <c r="Z85" s="5">
        <v>0</v>
      </c>
      <c r="AA85" s="5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5">
        <v>0</v>
      </c>
      <c r="AK85" s="5">
        <v>0</v>
      </c>
      <c r="AL85" s="5">
        <v>0</v>
      </c>
      <c r="AM85" s="5">
        <v>0</v>
      </c>
      <c r="AN85" s="5">
        <v>0</v>
      </c>
      <c r="AO85" s="5">
        <v>0</v>
      </c>
      <c r="AP85" s="5">
        <v>0</v>
      </c>
      <c r="AQ85" s="5">
        <v>0</v>
      </c>
      <c r="AR85" s="5">
        <v>0</v>
      </c>
      <c r="AS85" s="5">
        <v>11000</v>
      </c>
      <c r="AT85" s="5"/>
      <c r="AU85" s="5"/>
      <c r="AV85" s="5"/>
      <c r="AW85" s="5"/>
      <c r="AX85" s="5"/>
      <c r="AY85" s="5"/>
      <c r="AZ85" s="5"/>
      <c r="BA85" s="5"/>
      <c r="BB85" s="5"/>
    </row>
    <row r="86" spans="1:54" x14ac:dyDescent="0.15">
      <c r="A86" s="5">
        <v>200</v>
      </c>
      <c r="B86" s="5">
        <v>10</v>
      </c>
      <c r="C86" s="5">
        <v>991</v>
      </c>
      <c r="D86" s="5" t="s">
        <v>252</v>
      </c>
      <c r="E86" s="5">
        <v>21000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21000</v>
      </c>
      <c r="S86" s="5">
        <v>0</v>
      </c>
      <c r="T86" s="5">
        <v>21000</v>
      </c>
      <c r="U86" s="5">
        <v>0</v>
      </c>
      <c r="V86" s="5">
        <v>0</v>
      </c>
      <c r="W86" s="5">
        <v>0</v>
      </c>
      <c r="X86" s="5">
        <v>0</v>
      </c>
      <c r="Y86" s="5">
        <v>63</v>
      </c>
      <c r="Z86" s="5">
        <v>63</v>
      </c>
      <c r="AA86" s="5">
        <v>855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>
        <v>0</v>
      </c>
      <c r="AL86" s="5">
        <v>0</v>
      </c>
      <c r="AM86" s="5">
        <v>0</v>
      </c>
      <c r="AN86" s="5">
        <v>0</v>
      </c>
      <c r="AO86" s="5">
        <v>0</v>
      </c>
      <c r="AP86" s="5">
        <v>0</v>
      </c>
      <c r="AQ86" s="5">
        <v>0</v>
      </c>
      <c r="AR86" s="5">
        <v>918</v>
      </c>
      <c r="AS86" s="5">
        <v>20082</v>
      </c>
      <c r="AT86" s="5"/>
      <c r="AU86" s="5"/>
      <c r="AV86" s="5"/>
      <c r="AW86" s="5"/>
      <c r="AX86" s="5"/>
      <c r="AY86" s="5"/>
      <c r="AZ86" s="5"/>
      <c r="BA86" s="5"/>
      <c r="BB86" s="5"/>
    </row>
    <row r="87" spans="1:54" x14ac:dyDescent="0.15">
      <c r="A87" s="5">
        <v>200</v>
      </c>
      <c r="B87" s="5">
        <v>10</v>
      </c>
      <c r="C87" s="5">
        <v>992</v>
      </c>
      <c r="D87" s="5" t="s">
        <v>187</v>
      </c>
      <c r="E87" s="5">
        <v>21000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21000</v>
      </c>
      <c r="S87" s="5">
        <v>0</v>
      </c>
      <c r="T87" s="5">
        <v>21000</v>
      </c>
      <c r="U87" s="5">
        <v>0</v>
      </c>
      <c r="V87" s="5">
        <v>0</v>
      </c>
      <c r="W87" s="5">
        <v>0</v>
      </c>
      <c r="X87" s="5">
        <v>0</v>
      </c>
      <c r="Y87" s="5">
        <v>63</v>
      </c>
      <c r="Z87" s="5">
        <v>63</v>
      </c>
      <c r="AA87" s="5">
        <v>427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5">
        <v>0</v>
      </c>
      <c r="AK87" s="5">
        <v>0</v>
      </c>
      <c r="AL87" s="5">
        <v>0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490</v>
      </c>
      <c r="AS87" s="5">
        <v>20510</v>
      </c>
      <c r="AT87" s="5"/>
      <c r="AU87" s="5"/>
      <c r="AV87" s="5"/>
      <c r="AW87" s="5"/>
      <c r="AX87" s="5"/>
      <c r="AY87" s="5"/>
      <c r="AZ87" s="5"/>
      <c r="BA87" s="5"/>
      <c r="BB87" s="5"/>
    </row>
    <row r="88" spans="1:54" x14ac:dyDescent="0.15">
      <c r="A88" s="5">
        <v>200</v>
      </c>
      <c r="B88" s="5">
        <v>30</v>
      </c>
      <c r="C88" s="5">
        <v>994</v>
      </c>
      <c r="D88" s="5" t="s">
        <v>263</v>
      </c>
      <c r="E88" s="5">
        <v>20000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20000</v>
      </c>
      <c r="S88" s="5">
        <v>0</v>
      </c>
      <c r="T88" s="5">
        <v>20000</v>
      </c>
      <c r="U88" s="5">
        <v>0</v>
      </c>
      <c r="V88" s="5">
        <v>0</v>
      </c>
      <c r="W88" s="5">
        <v>0</v>
      </c>
      <c r="X88" s="5">
        <v>0</v>
      </c>
      <c r="Y88" s="5">
        <v>60</v>
      </c>
      <c r="Z88" s="5">
        <v>60</v>
      </c>
      <c r="AA88" s="5">
        <v>814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5">
        <v>0</v>
      </c>
      <c r="AK88" s="5">
        <v>0</v>
      </c>
      <c r="AL88" s="5">
        <v>0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874</v>
      </c>
      <c r="AS88" s="5">
        <v>19126</v>
      </c>
      <c r="AT88" s="5"/>
      <c r="AU88" s="5"/>
      <c r="AV88" s="5"/>
      <c r="AW88" s="5"/>
      <c r="AX88" s="5"/>
      <c r="AY88" s="5"/>
      <c r="AZ88" s="5"/>
      <c r="BA88" s="5"/>
      <c r="BB88" s="5"/>
    </row>
    <row r="89" spans="1:54" x14ac:dyDescent="0.15">
      <c r="A89" s="5">
        <v>200</v>
      </c>
      <c r="B89" s="5">
        <v>20</v>
      </c>
      <c r="C89" s="5">
        <v>997</v>
      </c>
      <c r="D89" s="5" t="s">
        <v>261</v>
      </c>
      <c r="E89" s="5">
        <v>11400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11400</v>
      </c>
      <c r="S89" s="5">
        <v>0</v>
      </c>
      <c r="T89" s="5">
        <v>11400</v>
      </c>
      <c r="U89" s="5">
        <v>0</v>
      </c>
      <c r="V89" s="5">
        <v>0</v>
      </c>
      <c r="W89" s="5">
        <v>0</v>
      </c>
      <c r="X89" s="5">
        <v>0</v>
      </c>
      <c r="Y89" s="5">
        <v>34</v>
      </c>
      <c r="Z89" s="5">
        <v>34</v>
      </c>
      <c r="AA89" s="5">
        <v>464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5">
        <v>0</v>
      </c>
      <c r="AK89" s="5">
        <v>0</v>
      </c>
      <c r="AL89" s="5">
        <v>0</v>
      </c>
      <c r="AM89" s="5">
        <v>0</v>
      </c>
      <c r="AN89" s="5">
        <v>0</v>
      </c>
      <c r="AO89" s="5">
        <v>0</v>
      </c>
      <c r="AP89" s="5">
        <v>0</v>
      </c>
      <c r="AQ89" s="5">
        <v>0</v>
      </c>
      <c r="AR89" s="5">
        <v>498</v>
      </c>
      <c r="AS89" s="5">
        <v>10902</v>
      </c>
      <c r="AT89" s="5"/>
      <c r="AU89" s="5"/>
      <c r="AV89" s="5"/>
      <c r="AW89" s="5"/>
      <c r="AX89" s="5"/>
      <c r="AY89" s="5"/>
      <c r="AZ89" s="5"/>
      <c r="BA89" s="5"/>
      <c r="BB89" s="5"/>
    </row>
    <row r="90" spans="1:54" x14ac:dyDescent="0.1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</row>
    <row r="91" spans="1:54" x14ac:dyDescent="0.1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</row>
    <row r="92" spans="1:54" x14ac:dyDescent="0.1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</row>
    <row r="93" spans="1:54" x14ac:dyDescent="0.1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</row>
    <row r="94" spans="1:54" x14ac:dyDescent="0.1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</row>
    <row r="95" spans="1:54" x14ac:dyDescent="0.1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</row>
    <row r="96" spans="1:54" x14ac:dyDescent="0.1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</row>
    <row r="97" spans="1:54" x14ac:dyDescent="0.1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</row>
    <row r="98" spans="1:54" x14ac:dyDescent="0.1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</row>
    <row r="99" spans="1:54" x14ac:dyDescent="0.1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</row>
    <row r="100" spans="1:54" x14ac:dyDescent="0.1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R42"/>
  <sheetViews>
    <sheetView zoomScaleNormal="100" workbookViewId="0">
      <selection activeCell="B4" sqref="B4"/>
    </sheetView>
  </sheetViews>
  <sheetFormatPr defaultRowHeight="13.5" x14ac:dyDescent="0.15"/>
  <cols>
    <col min="1" max="1" width="2.625" style="10" customWidth="1"/>
    <col min="2" max="2" width="18.625" style="10" customWidth="1"/>
    <col min="3" max="20" width="10.625" style="10" customWidth="1"/>
    <col min="21" max="22" width="9" style="10"/>
    <col min="23" max="23" width="11.625" style="10" bestFit="1" customWidth="1"/>
    <col min="24" max="24" width="11.625" style="10" customWidth="1"/>
    <col min="25" max="25" width="8.125" style="10" customWidth="1"/>
    <col min="26" max="26" width="8.625" style="10" customWidth="1"/>
    <col min="27" max="27" width="12.625" style="10" customWidth="1"/>
    <col min="28" max="29" width="8.625" style="10" customWidth="1"/>
    <col min="30" max="30" width="12.625" style="10" customWidth="1"/>
    <col min="31" max="32" width="8.625" style="10" customWidth="1"/>
    <col min="33" max="33" width="12.625" style="10" customWidth="1"/>
    <col min="34" max="34" width="8.625" style="10" customWidth="1"/>
    <col min="35" max="35" width="4.875" style="10" customWidth="1"/>
    <col min="36" max="36" width="8.625" style="10" customWidth="1"/>
    <col min="37" max="37" width="12.625" style="10" customWidth="1"/>
    <col min="38" max="39" width="8.625" style="10" customWidth="1"/>
    <col min="40" max="40" width="12.625" style="10" customWidth="1"/>
    <col min="41" max="42" width="8.625" style="10" customWidth="1"/>
    <col min="43" max="43" width="12.625" style="10" customWidth="1"/>
    <col min="44" max="44" width="8.625" style="10" customWidth="1"/>
    <col min="45" max="263" width="9" style="10"/>
    <col min="264" max="264" width="5.625" style="10" customWidth="1"/>
    <col min="265" max="265" width="18.625" style="10" customWidth="1"/>
    <col min="266" max="276" width="10.625" style="10" customWidth="1"/>
    <col min="277" max="278" width="9" style="10"/>
    <col min="279" max="279" width="11.625" style="10" bestFit="1" customWidth="1"/>
    <col min="280" max="280" width="11.625" style="10" customWidth="1"/>
    <col min="281" max="281" width="8.125" style="10" customWidth="1"/>
    <col min="282" max="282" width="8.625" style="10" customWidth="1"/>
    <col min="283" max="283" width="12.625" style="10" customWidth="1"/>
    <col min="284" max="285" width="8.625" style="10" customWidth="1"/>
    <col min="286" max="286" width="12.625" style="10" customWidth="1"/>
    <col min="287" max="288" width="8.625" style="10" customWidth="1"/>
    <col min="289" max="289" width="12.625" style="10" customWidth="1"/>
    <col min="290" max="290" width="8.625" style="10" customWidth="1"/>
    <col min="291" max="291" width="4.875" style="10" customWidth="1"/>
    <col min="292" max="292" width="8.625" style="10" customWidth="1"/>
    <col min="293" max="293" width="12.625" style="10" customWidth="1"/>
    <col min="294" max="295" width="8.625" style="10" customWidth="1"/>
    <col min="296" max="296" width="12.625" style="10" customWidth="1"/>
    <col min="297" max="298" width="8.625" style="10" customWidth="1"/>
    <col min="299" max="299" width="12.625" style="10" customWidth="1"/>
    <col min="300" max="300" width="8.625" style="10" customWidth="1"/>
    <col min="301" max="519" width="9" style="10"/>
    <col min="520" max="520" width="5.625" style="10" customWidth="1"/>
    <col min="521" max="521" width="18.625" style="10" customWidth="1"/>
    <col min="522" max="532" width="10.625" style="10" customWidth="1"/>
    <col min="533" max="534" width="9" style="10"/>
    <col min="535" max="535" width="11.625" style="10" bestFit="1" customWidth="1"/>
    <col min="536" max="536" width="11.625" style="10" customWidth="1"/>
    <col min="537" max="537" width="8.125" style="10" customWidth="1"/>
    <col min="538" max="538" width="8.625" style="10" customWidth="1"/>
    <col min="539" max="539" width="12.625" style="10" customWidth="1"/>
    <col min="540" max="541" width="8.625" style="10" customWidth="1"/>
    <col min="542" max="542" width="12.625" style="10" customWidth="1"/>
    <col min="543" max="544" width="8.625" style="10" customWidth="1"/>
    <col min="545" max="545" width="12.625" style="10" customWidth="1"/>
    <col min="546" max="546" width="8.625" style="10" customWidth="1"/>
    <col min="547" max="547" width="4.875" style="10" customWidth="1"/>
    <col min="548" max="548" width="8.625" style="10" customWidth="1"/>
    <col min="549" max="549" width="12.625" style="10" customWidth="1"/>
    <col min="550" max="551" width="8.625" style="10" customWidth="1"/>
    <col min="552" max="552" width="12.625" style="10" customWidth="1"/>
    <col min="553" max="554" width="8.625" style="10" customWidth="1"/>
    <col min="555" max="555" width="12.625" style="10" customWidth="1"/>
    <col min="556" max="556" width="8.625" style="10" customWidth="1"/>
    <col min="557" max="775" width="9" style="10"/>
    <col min="776" max="776" width="5.625" style="10" customWidth="1"/>
    <col min="777" max="777" width="18.625" style="10" customWidth="1"/>
    <col min="778" max="788" width="10.625" style="10" customWidth="1"/>
    <col min="789" max="790" width="9" style="10"/>
    <col min="791" max="791" width="11.625" style="10" bestFit="1" customWidth="1"/>
    <col min="792" max="792" width="11.625" style="10" customWidth="1"/>
    <col min="793" max="793" width="8.125" style="10" customWidth="1"/>
    <col min="794" max="794" width="8.625" style="10" customWidth="1"/>
    <col min="795" max="795" width="12.625" style="10" customWidth="1"/>
    <col min="796" max="797" width="8.625" style="10" customWidth="1"/>
    <col min="798" max="798" width="12.625" style="10" customWidth="1"/>
    <col min="799" max="800" width="8.625" style="10" customWidth="1"/>
    <col min="801" max="801" width="12.625" style="10" customWidth="1"/>
    <col min="802" max="802" width="8.625" style="10" customWidth="1"/>
    <col min="803" max="803" width="4.875" style="10" customWidth="1"/>
    <col min="804" max="804" width="8.625" style="10" customWidth="1"/>
    <col min="805" max="805" width="12.625" style="10" customWidth="1"/>
    <col min="806" max="807" width="8.625" style="10" customWidth="1"/>
    <col min="808" max="808" width="12.625" style="10" customWidth="1"/>
    <col min="809" max="810" width="8.625" style="10" customWidth="1"/>
    <col min="811" max="811" width="12.625" style="10" customWidth="1"/>
    <col min="812" max="812" width="8.625" style="10" customWidth="1"/>
    <col min="813" max="1031" width="9" style="10"/>
    <col min="1032" max="1032" width="5.625" style="10" customWidth="1"/>
    <col min="1033" max="1033" width="18.625" style="10" customWidth="1"/>
    <col min="1034" max="1044" width="10.625" style="10" customWidth="1"/>
    <col min="1045" max="1046" width="9" style="10"/>
    <col min="1047" max="1047" width="11.625" style="10" bestFit="1" customWidth="1"/>
    <col min="1048" max="1048" width="11.625" style="10" customWidth="1"/>
    <col min="1049" max="1049" width="8.125" style="10" customWidth="1"/>
    <col min="1050" max="1050" width="8.625" style="10" customWidth="1"/>
    <col min="1051" max="1051" width="12.625" style="10" customWidth="1"/>
    <col min="1052" max="1053" width="8.625" style="10" customWidth="1"/>
    <col min="1054" max="1054" width="12.625" style="10" customWidth="1"/>
    <col min="1055" max="1056" width="8.625" style="10" customWidth="1"/>
    <col min="1057" max="1057" width="12.625" style="10" customWidth="1"/>
    <col min="1058" max="1058" width="8.625" style="10" customWidth="1"/>
    <col min="1059" max="1059" width="4.875" style="10" customWidth="1"/>
    <col min="1060" max="1060" width="8.625" style="10" customWidth="1"/>
    <col min="1061" max="1061" width="12.625" style="10" customWidth="1"/>
    <col min="1062" max="1063" width="8.625" style="10" customWidth="1"/>
    <col min="1064" max="1064" width="12.625" style="10" customWidth="1"/>
    <col min="1065" max="1066" width="8.625" style="10" customWidth="1"/>
    <col min="1067" max="1067" width="12.625" style="10" customWidth="1"/>
    <col min="1068" max="1068" width="8.625" style="10" customWidth="1"/>
    <col min="1069" max="1287" width="9" style="10"/>
    <col min="1288" max="1288" width="5.625" style="10" customWidth="1"/>
    <col min="1289" max="1289" width="18.625" style="10" customWidth="1"/>
    <col min="1290" max="1300" width="10.625" style="10" customWidth="1"/>
    <col min="1301" max="1302" width="9" style="10"/>
    <col min="1303" max="1303" width="11.625" style="10" bestFit="1" customWidth="1"/>
    <col min="1304" max="1304" width="11.625" style="10" customWidth="1"/>
    <col min="1305" max="1305" width="8.125" style="10" customWidth="1"/>
    <col min="1306" max="1306" width="8.625" style="10" customWidth="1"/>
    <col min="1307" max="1307" width="12.625" style="10" customWidth="1"/>
    <col min="1308" max="1309" width="8.625" style="10" customWidth="1"/>
    <col min="1310" max="1310" width="12.625" style="10" customWidth="1"/>
    <col min="1311" max="1312" width="8.625" style="10" customWidth="1"/>
    <col min="1313" max="1313" width="12.625" style="10" customWidth="1"/>
    <col min="1314" max="1314" width="8.625" style="10" customWidth="1"/>
    <col min="1315" max="1315" width="4.875" style="10" customWidth="1"/>
    <col min="1316" max="1316" width="8.625" style="10" customWidth="1"/>
    <col min="1317" max="1317" width="12.625" style="10" customWidth="1"/>
    <col min="1318" max="1319" width="8.625" style="10" customWidth="1"/>
    <col min="1320" max="1320" width="12.625" style="10" customWidth="1"/>
    <col min="1321" max="1322" width="8.625" style="10" customWidth="1"/>
    <col min="1323" max="1323" width="12.625" style="10" customWidth="1"/>
    <col min="1324" max="1324" width="8.625" style="10" customWidth="1"/>
    <col min="1325" max="1543" width="9" style="10"/>
    <col min="1544" max="1544" width="5.625" style="10" customWidth="1"/>
    <col min="1545" max="1545" width="18.625" style="10" customWidth="1"/>
    <col min="1546" max="1556" width="10.625" style="10" customWidth="1"/>
    <col min="1557" max="1558" width="9" style="10"/>
    <col min="1559" max="1559" width="11.625" style="10" bestFit="1" customWidth="1"/>
    <col min="1560" max="1560" width="11.625" style="10" customWidth="1"/>
    <col min="1561" max="1561" width="8.125" style="10" customWidth="1"/>
    <col min="1562" max="1562" width="8.625" style="10" customWidth="1"/>
    <col min="1563" max="1563" width="12.625" style="10" customWidth="1"/>
    <col min="1564" max="1565" width="8.625" style="10" customWidth="1"/>
    <col min="1566" max="1566" width="12.625" style="10" customWidth="1"/>
    <col min="1567" max="1568" width="8.625" style="10" customWidth="1"/>
    <col min="1569" max="1569" width="12.625" style="10" customWidth="1"/>
    <col min="1570" max="1570" width="8.625" style="10" customWidth="1"/>
    <col min="1571" max="1571" width="4.875" style="10" customWidth="1"/>
    <col min="1572" max="1572" width="8.625" style="10" customWidth="1"/>
    <col min="1573" max="1573" width="12.625" style="10" customWidth="1"/>
    <col min="1574" max="1575" width="8.625" style="10" customWidth="1"/>
    <col min="1576" max="1576" width="12.625" style="10" customWidth="1"/>
    <col min="1577" max="1578" width="8.625" style="10" customWidth="1"/>
    <col min="1579" max="1579" width="12.625" style="10" customWidth="1"/>
    <col min="1580" max="1580" width="8.625" style="10" customWidth="1"/>
    <col min="1581" max="1799" width="9" style="10"/>
    <col min="1800" max="1800" width="5.625" style="10" customWidth="1"/>
    <col min="1801" max="1801" width="18.625" style="10" customWidth="1"/>
    <col min="1802" max="1812" width="10.625" style="10" customWidth="1"/>
    <col min="1813" max="1814" width="9" style="10"/>
    <col min="1815" max="1815" width="11.625" style="10" bestFit="1" customWidth="1"/>
    <col min="1816" max="1816" width="11.625" style="10" customWidth="1"/>
    <col min="1817" max="1817" width="8.125" style="10" customWidth="1"/>
    <col min="1818" max="1818" width="8.625" style="10" customWidth="1"/>
    <col min="1819" max="1819" width="12.625" style="10" customWidth="1"/>
    <col min="1820" max="1821" width="8.625" style="10" customWidth="1"/>
    <col min="1822" max="1822" width="12.625" style="10" customWidth="1"/>
    <col min="1823" max="1824" width="8.625" style="10" customWidth="1"/>
    <col min="1825" max="1825" width="12.625" style="10" customWidth="1"/>
    <col min="1826" max="1826" width="8.625" style="10" customWidth="1"/>
    <col min="1827" max="1827" width="4.875" style="10" customWidth="1"/>
    <col min="1828" max="1828" width="8.625" style="10" customWidth="1"/>
    <col min="1829" max="1829" width="12.625" style="10" customWidth="1"/>
    <col min="1830" max="1831" width="8.625" style="10" customWidth="1"/>
    <col min="1832" max="1832" width="12.625" style="10" customWidth="1"/>
    <col min="1833" max="1834" width="8.625" style="10" customWidth="1"/>
    <col min="1835" max="1835" width="12.625" style="10" customWidth="1"/>
    <col min="1836" max="1836" width="8.625" style="10" customWidth="1"/>
    <col min="1837" max="2055" width="9" style="10"/>
    <col min="2056" max="2056" width="5.625" style="10" customWidth="1"/>
    <col min="2057" max="2057" width="18.625" style="10" customWidth="1"/>
    <col min="2058" max="2068" width="10.625" style="10" customWidth="1"/>
    <col min="2069" max="2070" width="9" style="10"/>
    <col min="2071" max="2071" width="11.625" style="10" bestFit="1" customWidth="1"/>
    <col min="2072" max="2072" width="11.625" style="10" customWidth="1"/>
    <col min="2073" max="2073" width="8.125" style="10" customWidth="1"/>
    <col min="2074" max="2074" width="8.625" style="10" customWidth="1"/>
    <col min="2075" max="2075" width="12.625" style="10" customWidth="1"/>
    <col min="2076" max="2077" width="8.625" style="10" customWidth="1"/>
    <col min="2078" max="2078" width="12.625" style="10" customWidth="1"/>
    <col min="2079" max="2080" width="8.625" style="10" customWidth="1"/>
    <col min="2081" max="2081" width="12.625" style="10" customWidth="1"/>
    <col min="2082" max="2082" width="8.625" style="10" customWidth="1"/>
    <col min="2083" max="2083" width="4.875" style="10" customWidth="1"/>
    <col min="2084" max="2084" width="8.625" style="10" customWidth="1"/>
    <col min="2085" max="2085" width="12.625" style="10" customWidth="1"/>
    <col min="2086" max="2087" width="8.625" style="10" customWidth="1"/>
    <col min="2088" max="2088" width="12.625" style="10" customWidth="1"/>
    <col min="2089" max="2090" width="8.625" style="10" customWidth="1"/>
    <col min="2091" max="2091" width="12.625" style="10" customWidth="1"/>
    <col min="2092" max="2092" width="8.625" style="10" customWidth="1"/>
    <col min="2093" max="2311" width="9" style="10"/>
    <col min="2312" max="2312" width="5.625" style="10" customWidth="1"/>
    <col min="2313" max="2313" width="18.625" style="10" customWidth="1"/>
    <col min="2314" max="2324" width="10.625" style="10" customWidth="1"/>
    <col min="2325" max="2326" width="9" style="10"/>
    <col min="2327" max="2327" width="11.625" style="10" bestFit="1" customWidth="1"/>
    <col min="2328" max="2328" width="11.625" style="10" customWidth="1"/>
    <col min="2329" max="2329" width="8.125" style="10" customWidth="1"/>
    <col min="2330" max="2330" width="8.625" style="10" customWidth="1"/>
    <col min="2331" max="2331" width="12.625" style="10" customWidth="1"/>
    <col min="2332" max="2333" width="8.625" style="10" customWidth="1"/>
    <col min="2334" max="2334" width="12.625" style="10" customWidth="1"/>
    <col min="2335" max="2336" width="8.625" style="10" customWidth="1"/>
    <col min="2337" max="2337" width="12.625" style="10" customWidth="1"/>
    <col min="2338" max="2338" width="8.625" style="10" customWidth="1"/>
    <col min="2339" max="2339" width="4.875" style="10" customWidth="1"/>
    <col min="2340" max="2340" width="8.625" style="10" customWidth="1"/>
    <col min="2341" max="2341" width="12.625" style="10" customWidth="1"/>
    <col min="2342" max="2343" width="8.625" style="10" customWidth="1"/>
    <col min="2344" max="2344" width="12.625" style="10" customWidth="1"/>
    <col min="2345" max="2346" width="8.625" style="10" customWidth="1"/>
    <col min="2347" max="2347" width="12.625" style="10" customWidth="1"/>
    <col min="2348" max="2348" width="8.625" style="10" customWidth="1"/>
    <col min="2349" max="2567" width="9" style="10"/>
    <col min="2568" max="2568" width="5.625" style="10" customWidth="1"/>
    <col min="2569" max="2569" width="18.625" style="10" customWidth="1"/>
    <col min="2570" max="2580" width="10.625" style="10" customWidth="1"/>
    <col min="2581" max="2582" width="9" style="10"/>
    <col min="2583" max="2583" width="11.625" style="10" bestFit="1" customWidth="1"/>
    <col min="2584" max="2584" width="11.625" style="10" customWidth="1"/>
    <col min="2585" max="2585" width="8.125" style="10" customWidth="1"/>
    <col min="2586" max="2586" width="8.625" style="10" customWidth="1"/>
    <col min="2587" max="2587" width="12.625" style="10" customWidth="1"/>
    <col min="2588" max="2589" width="8.625" style="10" customWidth="1"/>
    <col min="2590" max="2590" width="12.625" style="10" customWidth="1"/>
    <col min="2591" max="2592" width="8.625" style="10" customWidth="1"/>
    <col min="2593" max="2593" width="12.625" style="10" customWidth="1"/>
    <col min="2594" max="2594" width="8.625" style="10" customWidth="1"/>
    <col min="2595" max="2595" width="4.875" style="10" customWidth="1"/>
    <col min="2596" max="2596" width="8.625" style="10" customWidth="1"/>
    <col min="2597" max="2597" width="12.625" style="10" customWidth="1"/>
    <col min="2598" max="2599" width="8.625" style="10" customWidth="1"/>
    <col min="2600" max="2600" width="12.625" style="10" customWidth="1"/>
    <col min="2601" max="2602" width="8.625" style="10" customWidth="1"/>
    <col min="2603" max="2603" width="12.625" style="10" customWidth="1"/>
    <col min="2604" max="2604" width="8.625" style="10" customWidth="1"/>
    <col min="2605" max="2823" width="9" style="10"/>
    <col min="2824" max="2824" width="5.625" style="10" customWidth="1"/>
    <col min="2825" max="2825" width="18.625" style="10" customWidth="1"/>
    <col min="2826" max="2836" width="10.625" style="10" customWidth="1"/>
    <col min="2837" max="2838" width="9" style="10"/>
    <col min="2839" max="2839" width="11.625" style="10" bestFit="1" customWidth="1"/>
    <col min="2840" max="2840" width="11.625" style="10" customWidth="1"/>
    <col min="2841" max="2841" width="8.125" style="10" customWidth="1"/>
    <col min="2842" max="2842" width="8.625" style="10" customWidth="1"/>
    <col min="2843" max="2843" width="12.625" style="10" customWidth="1"/>
    <col min="2844" max="2845" width="8.625" style="10" customWidth="1"/>
    <col min="2846" max="2846" width="12.625" style="10" customWidth="1"/>
    <col min="2847" max="2848" width="8.625" style="10" customWidth="1"/>
    <col min="2849" max="2849" width="12.625" style="10" customWidth="1"/>
    <col min="2850" max="2850" width="8.625" style="10" customWidth="1"/>
    <col min="2851" max="2851" width="4.875" style="10" customWidth="1"/>
    <col min="2852" max="2852" width="8.625" style="10" customWidth="1"/>
    <col min="2853" max="2853" width="12.625" style="10" customWidth="1"/>
    <col min="2854" max="2855" width="8.625" style="10" customWidth="1"/>
    <col min="2856" max="2856" width="12.625" style="10" customWidth="1"/>
    <col min="2857" max="2858" width="8.625" style="10" customWidth="1"/>
    <col min="2859" max="2859" width="12.625" style="10" customWidth="1"/>
    <col min="2860" max="2860" width="8.625" style="10" customWidth="1"/>
    <col min="2861" max="3079" width="9" style="10"/>
    <col min="3080" max="3080" width="5.625" style="10" customWidth="1"/>
    <col min="3081" max="3081" width="18.625" style="10" customWidth="1"/>
    <col min="3082" max="3092" width="10.625" style="10" customWidth="1"/>
    <col min="3093" max="3094" width="9" style="10"/>
    <col min="3095" max="3095" width="11.625" style="10" bestFit="1" customWidth="1"/>
    <col min="3096" max="3096" width="11.625" style="10" customWidth="1"/>
    <col min="3097" max="3097" width="8.125" style="10" customWidth="1"/>
    <col min="3098" max="3098" width="8.625" style="10" customWidth="1"/>
    <col min="3099" max="3099" width="12.625" style="10" customWidth="1"/>
    <col min="3100" max="3101" width="8.625" style="10" customWidth="1"/>
    <col min="3102" max="3102" width="12.625" style="10" customWidth="1"/>
    <col min="3103" max="3104" width="8.625" style="10" customWidth="1"/>
    <col min="3105" max="3105" width="12.625" style="10" customWidth="1"/>
    <col min="3106" max="3106" width="8.625" style="10" customWidth="1"/>
    <col min="3107" max="3107" width="4.875" style="10" customWidth="1"/>
    <col min="3108" max="3108" width="8.625" style="10" customWidth="1"/>
    <col min="3109" max="3109" width="12.625" style="10" customWidth="1"/>
    <col min="3110" max="3111" width="8.625" style="10" customWidth="1"/>
    <col min="3112" max="3112" width="12.625" style="10" customWidth="1"/>
    <col min="3113" max="3114" width="8.625" style="10" customWidth="1"/>
    <col min="3115" max="3115" width="12.625" style="10" customWidth="1"/>
    <col min="3116" max="3116" width="8.625" style="10" customWidth="1"/>
    <col min="3117" max="3335" width="9" style="10"/>
    <col min="3336" max="3336" width="5.625" style="10" customWidth="1"/>
    <col min="3337" max="3337" width="18.625" style="10" customWidth="1"/>
    <col min="3338" max="3348" width="10.625" style="10" customWidth="1"/>
    <col min="3349" max="3350" width="9" style="10"/>
    <col min="3351" max="3351" width="11.625" style="10" bestFit="1" customWidth="1"/>
    <col min="3352" max="3352" width="11.625" style="10" customWidth="1"/>
    <col min="3353" max="3353" width="8.125" style="10" customWidth="1"/>
    <col min="3354" max="3354" width="8.625" style="10" customWidth="1"/>
    <col min="3355" max="3355" width="12.625" style="10" customWidth="1"/>
    <col min="3356" max="3357" width="8.625" style="10" customWidth="1"/>
    <col min="3358" max="3358" width="12.625" style="10" customWidth="1"/>
    <col min="3359" max="3360" width="8.625" style="10" customWidth="1"/>
    <col min="3361" max="3361" width="12.625" style="10" customWidth="1"/>
    <col min="3362" max="3362" width="8.625" style="10" customWidth="1"/>
    <col min="3363" max="3363" width="4.875" style="10" customWidth="1"/>
    <col min="3364" max="3364" width="8.625" style="10" customWidth="1"/>
    <col min="3365" max="3365" width="12.625" style="10" customWidth="1"/>
    <col min="3366" max="3367" width="8.625" style="10" customWidth="1"/>
    <col min="3368" max="3368" width="12.625" style="10" customWidth="1"/>
    <col min="3369" max="3370" width="8.625" style="10" customWidth="1"/>
    <col min="3371" max="3371" width="12.625" style="10" customWidth="1"/>
    <col min="3372" max="3372" width="8.625" style="10" customWidth="1"/>
    <col min="3373" max="3591" width="9" style="10"/>
    <col min="3592" max="3592" width="5.625" style="10" customWidth="1"/>
    <col min="3593" max="3593" width="18.625" style="10" customWidth="1"/>
    <col min="3594" max="3604" width="10.625" style="10" customWidth="1"/>
    <col min="3605" max="3606" width="9" style="10"/>
    <col min="3607" max="3607" width="11.625" style="10" bestFit="1" customWidth="1"/>
    <col min="3608" max="3608" width="11.625" style="10" customWidth="1"/>
    <col min="3609" max="3609" width="8.125" style="10" customWidth="1"/>
    <col min="3610" max="3610" width="8.625" style="10" customWidth="1"/>
    <col min="3611" max="3611" width="12.625" style="10" customWidth="1"/>
    <col min="3612" max="3613" width="8.625" style="10" customWidth="1"/>
    <col min="3614" max="3614" width="12.625" style="10" customWidth="1"/>
    <col min="3615" max="3616" width="8.625" style="10" customWidth="1"/>
    <col min="3617" max="3617" width="12.625" style="10" customWidth="1"/>
    <col min="3618" max="3618" width="8.625" style="10" customWidth="1"/>
    <col min="3619" max="3619" width="4.875" style="10" customWidth="1"/>
    <col min="3620" max="3620" width="8.625" style="10" customWidth="1"/>
    <col min="3621" max="3621" width="12.625" style="10" customWidth="1"/>
    <col min="3622" max="3623" width="8.625" style="10" customWidth="1"/>
    <col min="3624" max="3624" width="12.625" style="10" customWidth="1"/>
    <col min="3625" max="3626" width="8.625" style="10" customWidth="1"/>
    <col min="3627" max="3627" width="12.625" style="10" customWidth="1"/>
    <col min="3628" max="3628" width="8.625" style="10" customWidth="1"/>
    <col min="3629" max="3847" width="9" style="10"/>
    <col min="3848" max="3848" width="5.625" style="10" customWidth="1"/>
    <col min="3849" max="3849" width="18.625" style="10" customWidth="1"/>
    <col min="3850" max="3860" width="10.625" style="10" customWidth="1"/>
    <col min="3861" max="3862" width="9" style="10"/>
    <col min="3863" max="3863" width="11.625" style="10" bestFit="1" customWidth="1"/>
    <col min="3864" max="3864" width="11.625" style="10" customWidth="1"/>
    <col min="3865" max="3865" width="8.125" style="10" customWidth="1"/>
    <col min="3866" max="3866" width="8.625" style="10" customWidth="1"/>
    <col min="3867" max="3867" width="12.625" style="10" customWidth="1"/>
    <col min="3868" max="3869" width="8.625" style="10" customWidth="1"/>
    <col min="3870" max="3870" width="12.625" style="10" customWidth="1"/>
    <col min="3871" max="3872" width="8.625" style="10" customWidth="1"/>
    <col min="3873" max="3873" width="12.625" style="10" customWidth="1"/>
    <col min="3874" max="3874" width="8.625" style="10" customWidth="1"/>
    <col min="3875" max="3875" width="4.875" style="10" customWidth="1"/>
    <col min="3876" max="3876" width="8.625" style="10" customWidth="1"/>
    <col min="3877" max="3877" width="12.625" style="10" customWidth="1"/>
    <col min="3878" max="3879" width="8.625" style="10" customWidth="1"/>
    <col min="3880" max="3880" width="12.625" style="10" customWidth="1"/>
    <col min="3881" max="3882" width="8.625" style="10" customWidth="1"/>
    <col min="3883" max="3883" width="12.625" style="10" customWidth="1"/>
    <col min="3884" max="3884" width="8.625" style="10" customWidth="1"/>
    <col min="3885" max="4103" width="9" style="10"/>
    <col min="4104" max="4104" width="5.625" style="10" customWidth="1"/>
    <col min="4105" max="4105" width="18.625" style="10" customWidth="1"/>
    <col min="4106" max="4116" width="10.625" style="10" customWidth="1"/>
    <col min="4117" max="4118" width="9" style="10"/>
    <col min="4119" max="4119" width="11.625" style="10" bestFit="1" customWidth="1"/>
    <col min="4120" max="4120" width="11.625" style="10" customWidth="1"/>
    <col min="4121" max="4121" width="8.125" style="10" customWidth="1"/>
    <col min="4122" max="4122" width="8.625" style="10" customWidth="1"/>
    <col min="4123" max="4123" width="12.625" style="10" customWidth="1"/>
    <col min="4124" max="4125" width="8.625" style="10" customWidth="1"/>
    <col min="4126" max="4126" width="12.625" style="10" customWidth="1"/>
    <col min="4127" max="4128" width="8.625" style="10" customWidth="1"/>
    <col min="4129" max="4129" width="12.625" style="10" customWidth="1"/>
    <col min="4130" max="4130" width="8.625" style="10" customWidth="1"/>
    <col min="4131" max="4131" width="4.875" style="10" customWidth="1"/>
    <col min="4132" max="4132" width="8.625" style="10" customWidth="1"/>
    <col min="4133" max="4133" width="12.625" style="10" customWidth="1"/>
    <col min="4134" max="4135" width="8.625" style="10" customWidth="1"/>
    <col min="4136" max="4136" width="12.625" style="10" customWidth="1"/>
    <col min="4137" max="4138" width="8.625" style="10" customWidth="1"/>
    <col min="4139" max="4139" width="12.625" style="10" customWidth="1"/>
    <col min="4140" max="4140" width="8.625" style="10" customWidth="1"/>
    <col min="4141" max="4359" width="9" style="10"/>
    <col min="4360" max="4360" width="5.625" style="10" customWidth="1"/>
    <col min="4361" max="4361" width="18.625" style="10" customWidth="1"/>
    <col min="4362" max="4372" width="10.625" style="10" customWidth="1"/>
    <col min="4373" max="4374" width="9" style="10"/>
    <col min="4375" max="4375" width="11.625" style="10" bestFit="1" customWidth="1"/>
    <col min="4376" max="4376" width="11.625" style="10" customWidth="1"/>
    <col min="4377" max="4377" width="8.125" style="10" customWidth="1"/>
    <col min="4378" max="4378" width="8.625" style="10" customWidth="1"/>
    <col min="4379" max="4379" width="12.625" style="10" customWidth="1"/>
    <col min="4380" max="4381" width="8.625" style="10" customWidth="1"/>
    <col min="4382" max="4382" width="12.625" style="10" customWidth="1"/>
    <col min="4383" max="4384" width="8.625" style="10" customWidth="1"/>
    <col min="4385" max="4385" width="12.625" style="10" customWidth="1"/>
    <col min="4386" max="4386" width="8.625" style="10" customWidth="1"/>
    <col min="4387" max="4387" width="4.875" style="10" customWidth="1"/>
    <col min="4388" max="4388" width="8.625" style="10" customWidth="1"/>
    <col min="4389" max="4389" width="12.625" style="10" customWidth="1"/>
    <col min="4390" max="4391" width="8.625" style="10" customWidth="1"/>
    <col min="4392" max="4392" width="12.625" style="10" customWidth="1"/>
    <col min="4393" max="4394" width="8.625" style="10" customWidth="1"/>
    <col min="4395" max="4395" width="12.625" style="10" customWidth="1"/>
    <col min="4396" max="4396" width="8.625" style="10" customWidth="1"/>
    <col min="4397" max="4615" width="9" style="10"/>
    <col min="4616" max="4616" width="5.625" style="10" customWidth="1"/>
    <col min="4617" max="4617" width="18.625" style="10" customWidth="1"/>
    <col min="4618" max="4628" width="10.625" style="10" customWidth="1"/>
    <col min="4629" max="4630" width="9" style="10"/>
    <col min="4631" max="4631" width="11.625" style="10" bestFit="1" customWidth="1"/>
    <col min="4632" max="4632" width="11.625" style="10" customWidth="1"/>
    <col min="4633" max="4633" width="8.125" style="10" customWidth="1"/>
    <col min="4634" max="4634" width="8.625" style="10" customWidth="1"/>
    <col min="4635" max="4635" width="12.625" style="10" customWidth="1"/>
    <col min="4636" max="4637" width="8.625" style="10" customWidth="1"/>
    <col min="4638" max="4638" width="12.625" style="10" customWidth="1"/>
    <col min="4639" max="4640" width="8.625" style="10" customWidth="1"/>
    <col min="4641" max="4641" width="12.625" style="10" customWidth="1"/>
    <col min="4642" max="4642" width="8.625" style="10" customWidth="1"/>
    <col min="4643" max="4643" width="4.875" style="10" customWidth="1"/>
    <col min="4644" max="4644" width="8.625" style="10" customWidth="1"/>
    <col min="4645" max="4645" width="12.625" style="10" customWidth="1"/>
    <col min="4646" max="4647" width="8.625" style="10" customWidth="1"/>
    <col min="4648" max="4648" width="12.625" style="10" customWidth="1"/>
    <col min="4649" max="4650" width="8.625" style="10" customWidth="1"/>
    <col min="4651" max="4651" width="12.625" style="10" customWidth="1"/>
    <col min="4652" max="4652" width="8.625" style="10" customWidth="1"/>
    <col min="4653" max="4871" width="9" style="10"/>
    <col min="4872" max="4872" width="5.625" style="10" customWidth="1"/>
    <col min="4873" max="4873" width="18.625" style="10" customWidth="1"/>
    <col min="4874" max="4884" width="10.625" style="10" customWidth="1"/>
    <col min="4885" max="4886" width="9" style="10"/>
    <col min="4887" max="4887" width="11.625" style="10" bestFit="1" customWidth="1"/>
    <col min="4888" max="4888" width="11.625" style="10" customWidth="1"/>
    <col min="4889" max="4889" width="8.125" style="10" customWidth="1"/>
    <col min="4890" max="4890" width="8.625" style="10" customWidth="1"/>
    <col min="4891" max="4891" width="12.625" style="10" customWidth="1"/>
    <col min="4892" max="4893" width="8.625" style="10" customWidth="1"/>
    <col min="4894" max="4894" width="12.625" style="10" customWidth="1"/>
    <col min="4895" max="4896" width="8.625" style="10" customWidth="1"/>
    <col min="4897" max="4897" width="12.625" style="10" customWidth="1"/>
    <col min="4898" max="4898" width="8.625" style="10" customWidth="1"/>
    <col min="4899" max="4899" width="4.875" style="10" customWidth="1"/>
    <col min="4900" max="4900" width="8.625" style="10" customWidth="1"/>
    <col min="4901" max="4901" width="12.625" style="10" customWidth="1"/>
    <col min="4902" max="4903" width="8.625" style="10" customWidth="1"/>
    <col min="4904" max="4904" width="12.625" style="10" customWidth="1"/>
    <col min="4905" max="4906" width="8.625" style="10" customWidth="1"/>
    <col min="4907" max="4907" width="12.625" style="10" customWidth="1"/>
    <col min="4908" max="4908" width="8.625" style="10" customWidth="1"/>
    <col min="4909" max="5127" width="9" style="10"/>
    <col min="5128" max="5128" width="5.625" style="10" customWidth="1"/>
    <col min="5129" max="5129" width="18.625" style="10" customWidth="1"/>
    <col min="5130" max="5140" width="10.625" style="10" customWidth="1"/>
    <col min="5141" max="5142" width="9" style="10"/>
    <col min="5143" max="5143" width="11.625" style="10" bestFit="1" customWidth="1"/>
    <col min="5144" max="5144" width="11.625" style="10" customWidth="1"/>
    <col min="5145" max="5145" width="8.125" style="10" customWidth="1"/>
    <col min="5146" max="5146" width="8.625" style="10" customWidth="1"/>
    <col min="5147" max="5147" width="12.625" style="10" customWidth="1"/>
    <col min="5148" max="5149" width="8.625" style="10" customWidth="1"/>
    <col min="5150" max="5150" width="12.625" style="10" customWidth="1"/>
    <col min="5151" max="5152" width="8.625" style="10" customWidth="1"/>
    <col min="5153" max="5153" width="12.625" style="10" customWidth="1"/>
    <col min="5154" max="5154" width="8.625" style="10" customWidth="1"/>
    <col min="5155" max="5155" width="4.875" style="10" customWidth="1"/>
    <col min="5156" max="5156" width="8.625" style="10" customWidth="1"/>
    <col min="5157" max="5157" width="12.625" style="10" customWidth="1"/>
    <col min="5158" max="5159" width="8.625" style="10" customWidth="1"/>
    <col min="5160" max="5160" width="12.625" style="10" customWidth="1"/>
    <col min="5161" max="5162" width="8.625" style="10" customWidth="1"/>
    <col min="5163" max="5163" width="12.625" style="10" customWidth="1"/>
    <col min="5164" max="5164" width="8.625" style="10" customWidth="1"/>
    <col min="5165" max="5383" width="9" style="10"/>
    <col min="5384" max="5384" width="5.625" style="10" customWidth="1"/>
    <col min="5385" max="5385" width="18.625" style="10" customWidth="1"/>
    <col min="5386" max="5396" width="10.625" style="10" customWidth="1"/>
    <col min="5397" max="5398" width="9" style="10"/>
    <col min="5399" max="5399" width="11.625" style="10" bestFit="1" customWidth="1"/>
    <col min="5400" max="5400" width="11.625" style="10" customWidth="1"/>
    <col min="5401" max="5401" width="8.125" style="10" customWidth="1"/>
    <col min="5402" max="5402" width="8.625" style="10" customWidth="1"/>
    <col min="5403" max="5403" width="12.625" style="10" customWidth="1"/>
    <col min="5404" max="5405" width="8.625" style="10" customWidth="1"/>
    <col min="5406" max="5406" width="12.625" style="10" customWidth="1"/>
    <col min="5407" max="5408" width="8.625" style="10" customWidth="1"/>
    <col min="5409" max="5409" width="12.625" style="10" customWidth="1"/>
    <col min="5410" max="5410" width="8.625" style="10" customWidth="1"/>
    <col min="5411" max="5411" width="4.875" style="10" customWidth="1"/>
    <col min="5412" max="5412" width="8.625" style="10" customWidth="1"/>
    <col min="5413" max="5413" width="12.625" style="10" customWidth="1"/>
    <col min="5414" max="5415" width="8.625" style="10" customWidth="1"/>
    <col min="5416" max="5416" width="12.625" style="10" customWidth="1"/>
    <col min="5417" max="5418" width="8.625" style="10" customWidth="1"/>
    <col min="5419" max="5419" width="12.625" style="10" customWidth="1"/>
    <col min="5420" max="5420" width="8.625" style="10" customWidth="1"/>
    <col min="5421" max="5639" width="9" style="10"/>
    <col min="5640" max="5640" width="5.625" style="10" customWidth="1"/>
    <col min="5641" max="5641" width="18.625" style="10" customWidth="1"/>
    <col min="5642" max="5652" width="10.625" style="10" customWidth="1"/>
    <col min="5653" max="5654" width="9" style="10"/>
    <col min="5655" max="5655" width="11.625" style="10" bestFit="1" customWidth="1"/>
    <col min="5656" max="5656" width="11.625" style="10" customWidth="1"/>
    <col min="5657" max="5657" width="8.125" style="10" customWidth="1"/>
    <col min="5658" max="5658" width="8.625" style="10" customWidth="1"/>
    <col min="5659" max="5659" width="12.625" style="10" customWidth="1"/>
    <col min="5660" max="5661" width="8.625" style="10" customWidth="1"/>
    <col min="5662" max="5662" width="12.625" style="10" customWidth="1"/>
    <col min="5663" max="5664" width="8.625" style="10" customWidth="1"/>
    <col min="5665" max="5665" width="12.625" style="10" customWidth="1"/>
    <col min="5666" max="5666" width="8.625" style="10" customWidth="1"/>
    <col min="5667" max="5667" width="4.875" style="10" customWidth="1"/>
    <col min="5668" max="5668" width="8.625" style="10" customWidth="1"/>
    <col min="5669" max="5669" width="12.625" style="10" customWidth="1"/>
    <col min="5670" max="5671" width="8.625" style="10" customWidth="1"/>
    <col min="5672" max="5672" width="12.625" style="10" customWidth="1"/>
    <col min="5673" max="5674" width="8.625" style="10" customWidth="1"/>
    <col min="5675" max="5675" width="12.625" style="10" customWidth="1"/>
    <col min="5676" max="5676" width="8.625" style="10" customWidth="1"/>
    <col min="5677" max="5895" width="9" style="10"/>
    <col min="5896" max="5896" width="5.625" style="10" customWidth="1"/>
    <col min="5897" max="5897" width="18.625" style="10" customWidth="1"/>
    <col min="5898" max="5908" width="10.625" style="10" customWidth="1"/>
    <col min="5909" max="5910" width="9" style="10"/>
    <col min="5911" max="5911" width="11.625" style="10" bestFit="1" customWidth="1"/>
    <col min="5912" max="5912" width="11.625" style="10" customWidth="1"/>
    <col min="5913" max="5913" width="8.125" style="10" customWidth="1"/>
    <col min="5914" max="5914" width="8.625" style="10" customWidth="1"/>
    <col min="5915" max="5915" width="12.625" style="10" customWidth="1"/>
    <col min="5916" max="5917" width="8.625" style="10" customWidth="1"/>
    <col min="5918" max="5918" width="12.625" style="10" customWidth="1"/>
    <col min="5919" max="5920" width="8.625" style="10" customWidth="1"/>
    <col min="5921" max="5921" width="12.625" style="10" customWidth="1"/>
    <col min="5922" max="5922" width="8.625" style="10" customWidth="1"/>
    <col min="5923" max="5923" width="4.875" style="10" customWidth="1"/>
    <col min="5924" max="5924" width="8.625" style="10" customWidth="1"/>
    <col min="5925" max="5925" width="12.625" style="10" customWidth="1"/>
    <col min="5926" max="5927" width="8.625" style="10" customWidth="1"/>
    <col min="5928" max="5928" width="12.625" style="10" customWidth="1"/>
    <col min="5929" max="5930" width="8.625" style="10" customWidth="1"/>
    <col min="5931" max="5931" width="12.625" style="10" customWidth="1"/>
    <col min="5932" max="5932" width="8.625" style="10" customWidth="1"/>
    <col min="5933" max="6151" width="9" style="10"/>
    <col min="6152" max="6152" width="5.625" style="10" customWidth="1"/>
    <col min="6153" max="6153" width="18.625" style="10" customWidth="1"/>
    <col min="6154" max="6164" width="10.625" style="10" customWidth="1"/>
    <col min="6165" max="6166" width="9" style="10"/>
    <col min="6167" max="6167" width="11.625" style="10" bestFit="1" customWidth="1"/>
    <col min="6168" max="6168" width="11.625" style="10" customWidth="1"/>
    <col min="6169" max="6169" width="8.125" style="10" customWidth="1"/>
    <col min="6170" max="6170" width="8.625" style="10" customWidth="1"/>
    <col min="6171" max="6171" width="12.625" style="10" customWidth="1"/>
    <col min="6172" max="6173" width="8.625" style="10" customWidth="1"/>
    <col min="6174" max="6174" width="12.625" style="10" customWidth="1"/>
    <col min="6175" max="6176" width="8.625" style="10" customWidth="1"/>
    <col min="6177" max="6177" width="12.625" style="10" customWidth="1"/>
    <col min="6178" max="6178" width="8.625" style="10" customWidth="1"/>
    <col min="6179" max="6179" width="4.875" style="10" customWidth="1"/>
    <col min="6180" max="6180" width="8.625" style="10" customWidth="1"/>
    <col min="6181" max="6181" width="12.625" style="10" customWidth="1"/>
    <col min="6182" max="6183" width="8.625" style="10" customWidth="1"/>
    <col min="6184" max="6184" width="12.625" style="10" customWidth="1"/>
    <col min="6185" max="6186" width="8.625" style="10" customWidth="1"/>
    <col min="6187" max="6187" width="12.625" style="10" customWidth="1"/>
    <col min="6188" max="6188" width="8.625" style="10" customWidth="1"/>
    <col min="6189" max="6407" width="9" style="10"/>
    <col min="6408" max="6408" width="5.625" style="10" customWidth="1"/>
    <col min="6409" max="6409" width="18.625" style="10" customWidth="1"/>
    <col min="6410" max="6420" width="10.625" style="10" customWidth="1"/>
    <col min="6421" max="6422" width="9" style="10"/>
    <col min="6423" max="6423" width="11.625" style="10" bestFit="1" customWidth="1"/>
    <col min="6424" max="6424" width="11.625" style="10" customWidth="1"/>
    <col min="6425" max="6425" width="8.125" style="10" customWidth="1"/>
    <col min="6426" max="6426" width="8.625" style="10" customWidth="1"/>
    <col min="6427" max="6427" width="12.625" style="10" customWidth="1"/>
    <col min="6428" max="6429" width="8.625" style="10" customWidth="1"/>
    <col min="6430" max="6430" width="12.625" style="10" customWidth="1"/>
    <col min="6431" max="6432" width="8.625" style="10" customWidth="1"/>
    <col min="6433" max="6433" width="12.625" style="10" customWidth="1"/>
    <col min="6434" max="6434" width="8.625" style="10" customWidth="1"/>
    <col min="6435" max="6435" width="4.875" style="10" customWidth="1"/>
    <col min="6436" max="6436" width="8.625" style="10" customWidth="1"/>
    <col min="6437" max="6437" width="12.625" style="10" customWidth="1"/>
    <col min="6438" max="6439" width="8.625" style="10" customWidth="1"/>
    <col min="6440" max="6440" width="12.625" style="10" customWidth="1"/>
    <col min="6441" max="6442" width="8.625" style="10" customWidth="1"/>
    <col min="6443" max="6443" width="12.625" style="10" customWidth="1"/>
    <col min="6444" max="6444" width="8.625" style="10" customWidth="1"/>
    <col min="6445" max="6663" width="9" style="10"/>
    <col min="6664" max="6664" width="5.625" style="10" customWidth="1"/>
    <col min="6665" max="6665" width="18.625" style="10" customWidth="1"/>
    <col min="6666" max="6676" width="10.625" style="10" customWidth="1"/>
    <col min="6677" max="6678" width="9" style="10"/>
    <col min="6679" max="6679" width="11.625" style="10" bestFit="1" customWidth="1"/>
    <col min="6680" max="6680" width="11.625" style="10" customWidth="1"/>
    <col min="6681" max="6681" width="8.125" style="10" customWidth="1"/>
    <col min="6682" max="6682" width="8.625" style="10" customWidth="1"/>
    <col min="6683" max="6683" width="12.625" style="10" customWidth="1"/>
    <col min="6684" max="6685" width="8.625" style="10" customWidth="1"/>
    <col min="6686" max="6686" width="12.625" style="10" customWidth="1"/>
    <col min="6687" max="6688" width="8.625" style="10" customWidth="1"/>
    <col min="6689" max="6689" width="12.625" style="10" customWidth="1"/>
    <col min="6690" max="6690" width="8.625" style="10" customWidth="1"/>
    <col min="6691" max="6691" width="4.875" style="10" customWidth="1"/>
    <col min="6692" max="6692" width="8.625" style="10" customWidth="1"/>
    <col min="6693" max="6693" width="12.625" style="10" customWidth="1"/>
    <col min="6694" max="6695" width="8.625" style="10" customWidth="1"/>
    <col min="6696" max="6696" width="12.625" style="10" customWidth="1"/>
    <col min="6697" max="6698" width="8.625" style="10" customWidth="1"/>
    <col min="6699" max="6699" width="12.625" style="10" customWidth="1"/>
    <col min="6700" max="6700" width="8.625" style="10" customWidth="1"/>
    <col min="6701" max="6919" width="9" style="10"/>
    <col min="6920" max="6920" width="5.625" style="10" customWidth="1"/>
    <col min="6921" max="6921" width="18.625" style="10" customWidth="1"/>
    <col min="6922" max="6932" width="10.625" style="10" customWidth="1"/>
    <col min="6933" max="6934" width="9" style="10"/>
    <col min="6935" max="6935" width="11.625" style="10" bestFit="1" customWidth="1"/>
    <col min="6936" max="6936" width="11.625" style="10" customWidth="1"/>
    <col min="6937" max="6937" width="8.125" style="10" customWidth="1"/>
    <col min="6938" max="6938" width="8.625" style="10" customWidth="1"/>
    <col min="6939" max="6939" width="12.625" style="10" customWidth="1"/>
    <col min="6940" max="6941" width="8.625" style="10" customWidth="1"/>
    <col min="6942" max="6942" width="12.625" style="10" customWidth="1"/>
    <col min="6943" max="6944" width="8.625" style="10" customWidth="1"/>
    <col min="6945" max="6945" width="12.625" style="10" customWidth="1"/>
    <col min="6946" max="6946" width="8.625" style="10" customWidth="1"/>
    <col min="6947" max="6947" width="4.875" style="10" customWidth="1"/>
    <col min="6948" max="6948" width="8.625" style="10" customWidth="1"/>
    <col min="6949" max="6949" width="12.625" style="10" customWidth="1"/>
    <col min="6950" max="6951" width="8.625" style="10" customWidth="1"/>
    <col min="6952" max="6952" width="12.625" style="10" customWidth="1"/>
    <col min="6953" max="6954" width="8.625" style="10" customWidth="1"/>
    <col min="6955" max="6955" width="12.625" style="10" customWidth="1"/>
    <col min="6956" max="6956" width="8.625" style="10" customWidth="1"/>
    <col min="6957" max="7175" width="9" style="10"/>
    <col min="7176" max="7176" width="5.625" style="10" customWidth="1"/>
    <col min="7177" max="7177" width="18.625" style="10" customWidth="1"/>
    <col min="7178" max="7188" width="10.625" style="10" customWidth="1"/>
    <col min="7189" max="7190" width="9" style="10"/>
    <col min="7191" max="7191" width="11.625" style="10" bestFit="1" customWidth="1"/>
    <col min="7192" max="7192" width="11.625" style="10" customWidth="1"/>
    <col min="7193" max="7193" width="8.125" style="10" customWidth="1"/>
    <col min="7194" max="7194" width="8.625" style="10" customWidth="1"/>
    <col min="7195" max="7195" width="12.625" style="10" customWidth="1"/>
    <col min="7196" max="7197" width="8.625" style="10" customWidth="1"/>
    <col min="7198" max="7198" width="12.625" style="10" customWidth="1"/>
    <col min="7199" max="7200" width="8.625" style="10" customWidth="1"/>
    <col min="7201" max="7201" width="12.625" style="10" customWidth="1"/>
    <col min="7202" max="7202" width="8.625" style="10" customWidth="1"/>
    <col min="7203" max="7203" width="4.875" style="10" customWidth="1"/>
    <col min="7204" max="7204" width="8.625" style="10" customWidth="1"/>
    <col min="7205" max="7205" width="12.625" style="10" customWidth="1"/>
    <col min="7206" max="7207" width="8.625" style="10" customWidth="1"/>
    <col min="7208" max="7208" width="12.625" style="10" customWidth="1"/>
    <col min="7209" max="7210" width="8.625" style="10" customWidth="1"/>
    <col min="7211" max="7211" width="12.625" style="10" customWidth="1"/>
    <col min="7212" max="7212" width="8.625" style="10" customWidth="1"/>
    <col min="7213" max="7431" width="9" style="10"/>
    <col min="7432" max="7432" width="5.625" style="10" customWidth="1"/>
    <col min="7433" max="7433" width="18.625" style="10" customWidth="1"/>
    <col min="7434" max="7444" width="10.625" style="10" customWidth="1"/>
    <col min="7445" max="7446" width="9" style="10"/>
    <col min="7447" max="7447" width="11.625" style="10" bestFit="1" customWidth="1"/>
    <col min="7448" max="7448" width="11.625" style="10" customWidth="1"/>
    <col min="7449" max="7449" width="8.125" style="10" customWidth="1"/>
    <col min="7450" max="7450" width="8.625" style="10" customWidth="1"/>
    <col min="7451" max="7451" width="12.625" style="10" customWidth="1"/>
    <col min="7452" max="7453" width="8.625" style="10" customWidth="1"/>
    <col min="7454" max="7454" width="12.625" style="10" customWidth="1"/>
    <col min="7455" max="7456" width="8.625" style="10" customWidth="1"/>
    <col min="7457" max="7457" width="12.625" style="10" customWidth="1"/>
    <col min="7458" max="7458" width="8.625" style="10" customWidth="1"/>
    <col min="7459" max="7459" width="4.875" style="10" customWidth="1"/>
    <col min="7460" max="7460" width="8.625" style="10" customWidth="1"/>
    <col min="7461" max="7461" width="12.625" style="10" customWidth="1"/>
    <col min="7462" max="7463" width="8.625" style="10" customWidth="1"/>
    <col min="7464" max="7464" width="12.625" style="10" customWidth="1"/>
    <col min="7465" max="7466" width="8.625" style="10" customWidth="1"/>
    <col min="7467" max="7467" width="12.625" style="10" customWidth="1"/>
    <col min="7468" max="7468" width="8.625" style="10" customWidth="1"/>
    <col min="7469" max="7687" width="9" style="10"/>
    <col min="7688" max="7688" width="5.625" style="10" customWidth="1"/>
    <col min="7689" max="7689" width="18.625" style="10" customWidth="1"/>
    <col min="7690" max="7700" width="10.625" style="10" customWidth="1"/>
    <col min="7701" max="7702" width="9" style="10"/>
    <col min="7703" max="7703" width="11.625" style="10" bestFit="1" customWidth="1"/>
    <col min="7704" max="7704" width="11.625" style="10" customWidth="1"/>
    <col min="7705" max="7705" width="8.125" style="10" customWidth="1"/>
    <col min="7706" max="7706" width="8.625" style="10" customWidth="1"/>
    <col min="7707" max="7707" width="12.625" style="10" customWidth="1"/>
    <col min="7708" max="7709" width="8.625" style="10" customWidth="1"/>
    <col min="7710" max="7710" width="12.625" style="10" customWidth="1"/>
    <col min="7711" max="7712" width="8.625" style="10" customWidth="1"/>
    <col min="7713" max="7713" width="12.625" style="10" customWidth="1"/>
    <col min="7714" max="7714" width="8.625" style="10" customWidth="1"/>
    <col min="7715" max="7715" width="4.875" style="10" customWidth="1"/>
    <col min="7716" max="7716" width="8.625" style="10" customWidth="1"/>
    <col min="7717" max="7717" width="12.625" style="10" customWidth="1"/>
    <col min="7718" max="7719" width="8.625" style="10" customWidth="1"/>
    <col min="7720" max="7720" width="12.625" style="10" customWidth="1"/>
    <col min="7721" max="7722" width="8.625" style="10" customWidth="1"/>
    <col min="7723" max="7723" width="12.625" style="10" customWidth="1"/>
    <col min="7724" max="7724" width="8.625" style="10" customWidth="1"/>
    <col min="7725" max="7943" width="9" style="10"/>
    <col min="7944" max="7944" width="5.625" style="10" customWidth="1"/>
    <col min="7945" max="7945" width="18.625" style="10" customWidth="1"/>
    <col min="7946" max="7956" width="10.625" style="10" customWidth="1"/>
    <col min="7957" max="7958" width="9" style="10"/>
    <col min="7959" max="7959" width="11.625" style="10" bestFit="1" customWidth="1"/>
    <col min="7960" max="7960" width="11.625" style="10" customWidth="1"/>
    <col min="7961" max="7961" width="8.125" style="10" customWidth="1"/>
    <col min="7962" max="7962" width="8.625" style="10" customWidth="1"/>
    <col min="7963" max="7963" width="12.625" style="10" customWidth="1"/>
    <col min="7964" max="7965" width="8.625" style="10" customWidth="1"/>
    <col min="7966" max="7966" width="12.625" style="10" customWidth="1"/>
    <col min="7967" max="7968" width="8.625" style="10" customWidth="1"/>
    <col min="7969" max="7969" width="12.625" style="10" customWidth="1"/>
    <col min="7970" max="7970" width="8.625" style="10" customWidth="1"/>
    <col min="7971" max="7971" width="4.875" style="10" customWidth="1"/>
    <col min="7972" max="7972" width="8.625" style="10" customWidth="1"/>
    <col min="7973" max="7973" width="12.625" style="10" customWidth="1"/>
    <col min="7974" max="7975" width="8.625" style="10" customWidth="1"/>
    <col min="7976" max="7976" width="12.625" style="10" customWidth="1"/>
    <col min="7977" max="7978" width="8.625" style="10" customWidth="1"/>
    <col min="7979" max="7979" width="12.625" style="10" customWidth="1"/>
    <col min="7980" max="7980" width="8.625" style="10" customWidth="1"/>
    <col min="7981" max="8199" width="9" style="10"/>
    <col min="8200" max="8200" width="5.625" style="10" customWidth="1"/>
    <col min="8201" max="8201" width="18.625" style="10" customWidth="1"/>
    <col min="8202" max="8212" width="10.625" style="10" customWidth="1"/>
    <col min="8213" max="8214" width="9" style="10"/>
    <col min="8215" max="8215" width="11.625" style="10" bestFit="1" customWidth="1"/>
    <col min="8216" max="8216" width="11.625" style="10" customWidth="1"/>
    <col min="8217" max="8217" width="8.125" style="10" customWidth="1"/>
    <col min="8218" max="8218" width="8.625" style="10" customWidth="1"/>
    <col min="8219" max="8219" width="12.625" style="10" customWidth="1"/>
    <col min="8220" max="8221" width="8.625" style="10" customWidth="1"/>
    <col min="8222" max="8222" width="12.625" style="10" customWidth="1"/>
    <col min="8223" max="8224" width="8.625" style="10" customWidth="1"/>
    <col min="8225" max="8225" width="12.625" style="10" customWidth="1"/>
    <col min="8226" max="8226" width="8.625" style="10" customWidth="1"/>
    <col min="8227" max="8227" width="4.875" style="10" customWidth="1"/>
    <col min="8228" max="8228" width="8.625" style="10" customWidth="1"/>
    <col min="8229" max="8229" width="12.625" style="10" customWidth="1"/>
    <col min="8230" max="8231" width="8.625" style="10" customWidth="1"/>
    <col min="8232" max="8232" width="12.625" style="10" customWidth="1"/>
    <col min="8233" max="8234" width="8.625" style="10" customWidth="1"/>
    <col min="8235" max="8235" width="12.625" style="10" customWidth="1"/>
    <col min="8236" max="8236" width="8.625" style="10" customWidth="1"/>
    <col min="8237" max="8455" width="9" style="10"/>
    <col min="8456" max="8456" width="5.625" style="10" customWidth="1"/>
    <col min="8457" max="8457" width="18.625" style="10" customWidth="1"/>
    <col min="8458" max="8468" width="10.625" style="10" customWidth="1"/>
    <col min="8469" max="8470" width="9" style="10"/>
    <col min="8471" max="8471" width="11.625" style="10" bestFit="1" customWidth="1"/>
    <col min="8472" max="8472" width="11.625" style="10" customWidth="1"/>
    <col min="8473" max="8473" width="8.125" style="10" customWidth="1"/>
    <col min="8474" max="8474" width="8.625" style="10" customWidth="1"/>
    <col min="8475" max="8475" width="12.625" style="10" customWidth="1"/>
    <col min="8476" max="8477" width="8.625" style="10" customWidth="1"/>
    <col min="8478" max="8478" width="12.625" style="10" customWidth="1"/>
    <col min="8479" max="8480" width="8.625" style="10" customWidth="1"/>
    <col min="8481" max="8481" width="12.625" style="10" customWidth="1"/>
    <col min="8482" max="8482" width="8.625" style="10" customWidth="1"/>
    <col min="8483" max="8483" width="4.875" style="10" customWidth="1"/>
    <col min="8484" max="8484" width="8.625" style="10" customWidth="1"/>
    <col min="8485" max="8485" width="12.625" style="10" customWidth="1"/>
    <col min="8486" max="8487" width="8.625" style="10" customWidth="1"/>
    <col min="8488" max="8488" width="12.625" style="10" customWidth="1"/>
    <col min="8489" max="8490" width="8.625" style="10" customWidth="1"/>
    <col min="8491" max="8491" width="12.625" style="10" customWidth="1"/>
    <col min="8492" max="8492" width="8.625" style="10" customWidth="1"/>
    <col min="8493" max="8711" width="9" style="10"/>
    <col min="8712" max="8712" width="5.625" style="10" customWidth="1"/>
    <col min="8713" max="8713" width="18.625" style="10" customWidth="1"/>
    <col min="8714" max="8724" width="10.625" style="10" customWidth="1"/>
    <col min="8725" max="8726" width="9" style="10"/>
    <col min="8727" max="8727" width="11.625" style="10" bestFit="1" customWidth="1"/>
    <col min="8728" max="8728" width="11.625" style="10" customWidth="1"/>
    <col min="8729" max="8729" width="8.125" style="10" customWidth="1"/>
    <col min="8730" max="8730" width="8.625" style="10" customWidth="1"/>
    <col min="8731" max="8731" width="12.625" style="10" customWidth="1"/>
    <col min="8732" max="8733" width="8.625" style="10" customWidth="1"/>
    <col min="8734" max="8734" width="12.625" style="10" customWidth="1"/>
    <col min="8735" max="8736" width="8.625" style="10" customWidth="1"/>
    <col min="8737" max="8737" width="12.625" style="10" customWidth="1"/>
    <col min="8738" max="8738" width="8.625" style="10" customWidth="1"/>
    <col min="8739" max="8739" width="4.875" style="10" customWidth="1"/>
    <col min="8740" max="8740" width="8.625" style="10" customWidth="1"/>
    <col min="8741" max="8741" width="12.625" style="10" customWidth="1"/>
    <col min="8742" max="8743" width="8.625" style="10" customWidth="1"/>
    <col min="8744" max="8744" width="12.625" style="10" customWidth="1"/>
    <col min="8745" max="8746" width="8.625" style="10" customWidth="1"/>
    <col min="8747" max="8747" width="12.625" style="10" customWidth="1"/>
    <col min="8748" max="8748" width="8.625" style="10" customWidth="1"/>
    <col min="8749" max="8967" width="9" style="10"/>
    <col min="8968" max="8968" width="5.625" style="10" customWidth="1"/>
    <col min="8969" max="8969" width="18.625" style="10" customWidth="1"/>
    <col min="8970" max="8980" width="10.625" style="10" customWidth="1"/>
    <col min="8981" max="8982" width="9" style="10"/>
    <col min="8983" max="8983" width="11.625" style="10" bestFit="1" customWidth="1"/>
    <col min="8984" max="8984" width="11.625" style="10" customWidth="1"/>
    <col min="8985" max="8985" width="8.125" style="10" customWidth="1"/>
    <col min="8986" max="8986" width="8.625" style="10" customWidth="1"/>
    <col min="8987" max="8987" width="12.625" style="10" customWidth="1"/>
    <col min="8988" max="8989" width="8.625" style="10" customWidth="1"/>
    <col min="8990" max="8990" width="12.625" style="10" customWidth="1"/>
    <col min="8991" max="8992" width="8.625" style="10" customWidth="1"/>
    <col min="8993" max="8993" width="12.625" style="10" customWidth="1"/>
    <col min="8994" max="8994" width="8.625" style="10" customWidth="1"/>
    <col min="8995" max="8995" width="4.875" style="10" customWidth="1"/>
    <col min="8996" max="8996" width="8.625" style="10" customWidth="1"/>
    <col min="8997" max="8997" width="12.625" style="10" customWidth="1"/>
    <col min="8998" max="8999" width="8.625" style="10" customWidth="1"/>
    <col min="9000" max="9000" width="12.625" style="10" customWidth="1"/>
    <col min="9001" max="9002" width="8.625" style="10" customWidth="1"/>
    <col min="9003" max="9003" width="12.625" style="10" customWidth="1"/>
    <col min="9004" max="9004" width="8.625" style="10" customWidth="1"/>
    <col min="9005" max="9223" width="9" style="10"/>
    <col min="9224" max="9224" width="5.625" style="10" customWidth="1"/>
    <col min="9225" max="9225" width="18.625" style="10" customWidth="1"/>
    <col min="9226" max="9236" width="10.625" style="10" customWidth="1"/>
    <col min="9237" max="9238" width="9" style="10"/>
    <col min="9239" max="9239" width="11.625" style="10" bestFit="1" customWidth="1"/>
    <col min="9240" max="9240" width="11.625" style="10" customWidth="1"/>
    <col min="9241" max="9241" width="8.125" style="10" customWidth="1"/>
    <col min="9242" max="9242" width="8.625" style="10" customWidth="1"/>
    <col min="9243" max="9243" width="12.625" style="10" customWidth="1"/>
    <col min="9244" max="9245" width="8.625" style="10" customWidth="1"/>
    <col min="9246" max="9246" width="12.625" style="10" customWidth="1"/>
    <col min="9247" max="9248" width="8.625" style="10" customWidth="1"/>
    <col min="9249" max="9249" width="12.625" style="10" customWidth="1"/>
    <col min="9250" max="9250" width="8.625" style="10" customWidth="1"/>
    <col min="9251" max="9251" width="4.875" style="10" customWidth="1"/>
    <col min="9252" max="9252" width="8.625" style="10" customWidth="1"/>
    <col min="9253" max="9253" width="12.625" style="10" customWidth="1"/>
    <col min="9254" max="9255" width="8.625" style="10" customWidth="1"/>
    <col min="9256" max="9256" width="12.625" style="10" customWidth="1"/>
    <col min="9257" max="9258" width="8.625" style="10" customWidth="1"/>
    <col min="9259" max="9259" width="12.625" style="10" customWidth="1"/>
    <col min="9260" max="9260" width="8.625" style="10" customWidth="1"/>
    <col min="9261" max="9479" width="9" style="10"/>
    <col min="9480" max="9480" width="5.625" style="10" customWidth="1"/>
    <col min="9481" max="9481" width="18.625" style="10" customWidth="1"/>
    <col min="9482" max="9492" width="10.625" style="10" customWidth="1"/>
    <col min="9493" max="9494" width="9" style="10"/>
    <col min="9495" max="9495" width="11.625" style="10" bestFit="1" customWidth="1"/>
    <col min="9496" max="9496" width="11.625" style="10" customWidth="1"/>
    <col min="9497" max="9497" width="8.125" style="10" customWidth="1"/>
    <col min="9498" max="9498" width="8.625" style="10" customWidth="1"/>
    <col min="9499" max="9499" width="12.625" style="10" customWidth="1"/>
    <col min="9500" max="9501" width="8.625" style="10" customWidth="1"/>
    <col min="9502" max="9502" width="12.625" style="10" customWidth="1"/>
    <col min="9503" max="9504" width="8.625" style="10" customWidth="1"/>
    <col min="9505" max="9505" width="12.625" style="10" customWidth="1"/>
    <col min="9506" max="9506" width="8.625" style="10" customWidth="1"/>
    <col min="9507" max="9507" width="4.875" style="10" customWidth="1"/>
    <col min="9508" max="9508" width="8.625" style="10" customWidth="1"/>
    <col min="9509" max="9509" width="12.625" style="10" customWidth="1"/>
    <col min="9510" max="9511" width="8.625" style="10" customWidth="1"/>
    <col min="9512" max="9512" width="12.625" style="10" customWidth="1"/>
    <col min="9513" max="9514" width="8.625" style="10" customWidth="1"/>
    <col min="9515" max="9515" width="12.625" style="10" customWidth="1"/>
    <col min="9516" max="9516" width="8.625" style="10" customWidth="1"/>
    <col min="9517" max="9735" width="9" style="10"/>
    <col min="9736" max="9736" width="5.625" style="10" customWidth="1"/>
    <col min="9737" max="9737" width="18.625" style="10" customWidth="1"/>
    <col min="9738" max="9748" width="10.625" style="10" customWidth="1"/>
    <col min="9749" max="9750" width="9" style="10"/>
    <col min="9751" max="9751" width="11.625" style="10" bestFit="1" customWidth="1"/>
    <col min="9752" max="9752" width="11.625" style="10" customWidth="1"/>
    <col min="9753" max="9753" width="8.125" style="10" customWidth="1"/>
    <col min="9754" max="9754" width="8.625" style="10" customWidth="1"/>
    <col min="9755" max="9755" width="12.625" style="10" customWidth="1"/>
    <col min="9756" max="9757" width="8.625" style="10" customWidth="1"/>
    <col min="9758" max="9758" width="12.625" style="10" customWidth="1"/>
    <col min="9759" max="9760" width="8.625" style="10" customWidth="1"/>
    <col min="9761" max="9761" width="12.625" style="10" customWidth="1"/>
    <col min="9762" max="9762" width="8.625" style="10" customWidth="1"/>
    <col min="9763" max="9763" width="4.875" style="10" customWidth="1"/>
    <col min="9764" max="9764" width="8.625" style="10" customWidth="1"/>
    <col min="9765" max="9765" width="12.625" style="10" customWidth="1"/>
    <col min="9766" max="9767" width="8.625" style="10" customWidth="1"/>
    <col min="9768" max="9768" width="12.625" style="10" customWidth="1"/>
    <col min="9769" max="9770" width="8.625" style="10" customWidth="1"/>
    <col min="9771" max="9771" width="12.625" style="10" customWidth="1"/>
    <col min="9772" max="9772" width="8.625" style="10" customWidth="1"/>
    <col min="9773" max="9991" width="9" style="10"/>
    <col min="9992" max="9992" width="5.625" style="10" customWidth="1"/>
    <col min="9993" max="9993" width="18.625" style="10" customWidth="1"/>
    <col min="9994" max="10004" width="10.625" style="10" customWidth="1"/>
    <col min="10005" max="10006" width="9" style="10"/>
    <col min="10007" max="10007" width="11.625" style="10" bestFit="1" customWidth="1"/>
    <col min="10008" max="10008" width="11.625" style="10" customWidth="1"/>
    <col min="10009" max="10009" width="8.125" style="10" customWidth="1"/>
    <col min="10010" max="10010" width="8.625" style="10" customWidth="1"/>
    <col min="10011" max="10011" width="12.625" style="10" customWidth="1"/>
    <col min="10012" max="10013" width="8.625" style="10" customWidth="1"/>
    <col min="10014" max="10014" width="12.625" style="10" customWidth="1"/>
    <col min="10015" max="10016" width="8.625" style="10" customWidth="1"/>
    <col min="10017" max="10017" width="12.625" style="10" customWidth="1"/>
    <col min="10018" max="10018" width="8.625" style="10" customWidth="1"/>
    <col min="10019" max="10019" width="4.875" style="10" customWidth="1"/>
    <col min="10020" max="10020" width="8.625" style="10" customWidth="1"/>
    <col min="10021" max="10021" width="12.625" style="10" customWidth="1"/>
    <col min="10022" max="10023" width="8.625" style="10" customWidth="1"/>
    <col min="10024" max="10024" width="12.625" style="10" customWidth="1"/>
    <col min="10025" max="10026" width="8.625" style="10" customWidth="1"/>
    <col min="10027" max="10027" width="12.625" style="10" customWidth="1"/>
    <col min="10028" max="10028" width="8.625" style="10" customWidth="1"/>
    <col min="10029" max="10247" width="9" style="10"/>
    <col min="10248" max="10248" width="5.625" style="10" customWidth="1"/>
    <col min="10249" max="10249" width="18.625" style="10" customWidth="1"/>
    <col min="10250" max="10260" width="10.625" style="10" customWidth="1"/>
    <col min="10261" max="10262" width="9" style="10"/>
    <col min="10263" max="10263" width="11.625" style="10" bestFit="1" customWidth="1"/>
    <col min="10264" max="10264" width="11.625" style="10" customWidth="1"/>
    <col min="10265" max="10265" width="8.125" style="10" customWidth="1"/>
    <col min="10266" max="10266" width="8.625" style="10" customWidth="1"/>
    <col min="10267" max="10267" width="12.625" style="10" customWidth="1"/>
    <col min="10268" max="10269" width="8.625" style="10" customWidth="1"/>
    <col min="10270" max="10270" width="12.625" style="10" customWidth="1"/>
    <col min="10271" max="10272" width="8.625" style="10" customWidth="1"/>
    <col min="10273" max="10273" width="12.625" style="10" customWidth="1"/>
    <col min="10274" max="10274" width="8.625" style="10" customWidth="1"/>
    <col min="10275" max="10275" width="4.875" style="10" customWidth="1"/>
    <col min="10276" max="10276" width="8.625" style="10" customWidth="1"/>
    <col min="10277" max="10277" width="12.625" style="10" customWidth="1"/>
    <col min="10278" max="10279" width="8.625" style="10" customWidth="1"/>
    <col min="10280" max="10280" width="12.625" style="10" customWidth="1"/>
    <col min="10281" max="10282" width="8.625" style="10" customWidth="1"/>
    <col min="10283" max="10283" width="12.625" style="10" customWidth="1"/>
    <col min="10284" max="10284" width="8.625" style="10" customWidth="1"/>
    <col min="10285" max="10503" width="9" style="10"/>
    <col min="10504" max="10504" width="5.625" style="10" customWidth="1"/>
    <col min="10505" max="10505" width="18.625" style="10" customWidth="1"/>
    <col min="10506" max="10516" width="10.625" style="10" customWidth="1"/>
    <col min="10517" max="10518" width="9" style="10"/>
    <col min="10519" max="10519" width="11.625" style="10" bestFit="1" customWidth="1"/>
    <col min="10520" max="10520" width="11.625" style="10" customWidth="1"/>
    <col min="10521" max="10521" width="8.125" style="10" customWidth="1"/>
    <col min="10522" max="10522" width="8.625" style="10" customWidth="1"/>
    <col min="10523" max="10523" width="12.625" style="10" customWidth="1"/>
    <col min="10524" max="10525" width="8.625" style="10" customWidth="1"/>
    <col min="10526" max="10526" width="12.625" style="10" customWidth="1"/>
    <col min="10527" max="10528" width="8.625" style="10" customWidth="1"/>
    <col min="10529" max="10529" width="12.625" style="10" customWidth="1"/>
    <col min="10530" max="10530" width="8.625" style="10" customWidth="1"/>
    <col min="10531" max="10531" width="4.875" style="10" customWidth="1"/>
    <col min="10532" max="10532" width="8.625" style="10" customWidth="1"/>
    <col min="10533" max="10533" width="12.625" style="10" customWidth="1"/>
    <col min="10534" max="10535" width="8.625" style="10" customWidth="1"/>
    <col min="10536" max="10536" width="12.625" style="10" customWidth="1"/>
    <col min="10537" max="10538" width="8.625" style="10" customWidth="1"/>
    <col min="10539" max="10539" width="12.625" style="10" customWidth="1"/>
    <col min="10540" max="10540" width="8.625" style="10" customWidth="1"/>
    <col min="10541" max="10759" width="9" style="10"/>
    <col min="10760" max="10760" width="5.625" style="10" customWidth="1"/>
    <col min="10761" max="10761" width="18.625" style="10" customWidth="1"/>
    <col min="10762" max="10772" width="10.625" style="10" customWidth="1"/>
    <col min="10773" max="10774" width="9" style="10"/>
    <col min="10775" max="10775" width="11.625" style="10" bestFit="1" customWidth="1"/>
    <col min="10776" max="10776" width="11.625" style="10" customWidth="1"/>
    <col min="10777" max="10777" width="8.125" style="10" customWidth="1"/>
    <col min="10778" max="10778" width="8.625" style="10" customWidth="1"/>
    <col min="10779" max="10779" width="12.625" style="10" customWidth="1"/>
    <col min="10780" max="10781" width="8.625" style="10" customWidth="1"/>
    <col min="10782" max="10782" width="12.625" style="10" customWidth="1"/>
    <col min="10783" max="10784" width="8.625" style="10" customWidth="1"/>
    <col min="10785" max="10785" width="12.625" style="10" customWidth="1"/>
    <col min="10786" max="10786" width="8.625" style="10" customWidth="1"/>
    <col min="10787" max="10787" width="4.875" style="10" customWidth="1"/>
    <col min="10788" max="10788" width="8.625" style="10" customWidth="1"/>
    <col min="10789" max="10789" width="12.625" style="10" customWidth="1"/>
    <col min="10790" max="10791" width="8.625" style="10" customWidth="1"/>
    <col min="10792" max="10792" width="12.625" style="10" customWidth="1"/>
    <col min="10793" max="10794" width="8.625" style="10" customWidth="1"/>
    <col min="10795" max="10795" width="12.625" style="10" customWidth="1"/>
    <col min="10796" max="10796" width="8.625" style="10" customWidth="1"/>
    <col min="10797" max="11015" width="9" style="10"/>
    <col min="11016" max="11016" width="5.625" style="10" customWidth="1"/>
    <col min="11017" max="11017" width="18.625" style="10" customWidth="1"/>
    <col min="11018" max="11028" width="10.625" style="10" customWidth="1"/>
    <col min="11029" max="11030" width="9" style="10"/>
    <col min="11031" max="11031" width="11.625" style="10" bestFit="1" customWidth="1"/>
    <col min="11032" max="11032" width="11.625" style="10" customWidth="1"/>
    <col min="11033" max="11033" width="8.125" style="10" customWidth="1"/>
    <col min="11034" max="11034" width="8.625" style="10" customWidth="1"/>
    <col min="11035" max="11035" width="12.625" style="10" customWidth="1"/>
    <col min="11036" max="11037" width="8.625" style="10" customWidth="1"/>
    <col min="11038" max="11038" width="12.625" style="10" customWidth="1"/>
    <col min="11039" max="11040" width="8.625" style="10" customWidth="1"/>
    <col min="11041" max="11041" width="12.625" style="10" customWidth="1"/>
    <col min="11042" max="11042" width="8.625" style="10" customWidth="1"/>
    <col min="11043" max="11043" width="4.875" style="10" customWidth="1"/>
    <col min="11044" max="11044" width="8.625" style="10" customWidth="1"/>
    <col min="11045" max="11045" width="12.625" style="10" customWidth="1"/>
    <col min="11046" max="11047" width="8.625" style="10" customWidth="1"/>
    <col min="11048" max="11048" width="12.625" style="10" customWidth="1"/>
    <col min="11049" max="11050" width="8.625" style="10" customWidth="1"/>
    <col min="11051" max="11051" width="12.625" style="10" customWidth="1"/>
    <col min="11052" max="11052" width="8.625" style="10" customWidth="1"/>
    <col min="11053" max="11271" width="9" style="10"/>
    <col min="11272" max="11272" width="5.625" style="10" customWidth="1"/>
    <col min="11273" max="11273" width="18.625" style="10" customWidth="1"/>
    <col min="11274" max="11284" width="10.625" style="10" customWidth="1"/>
    <col min="11285" max="11286" width="9" style="10"/>
    <col min="11287" max="11287" width="11.625" style="10" bestFit="1" customWidth="1"/>
    <col min="11288" max="11288" width="11.625" style="10" customWidth="1"/>
    <col min="11289" max="11289" width="8.125" style="10" customWidth="1"/>
    <col min="11290" max="11290" width="8.625" style="10" customWidth="1"/>
    <col min="11291" max="11291" width="12.625" style="10" customWidth="1"/>
    <col min="11292" max="11293" width="8.625" style="10" customWidth="1"/>
    <col min="11294" max="11294" width="12.625" style="10" customWidth="1"/>
    <col min="11295" max="11296" width="8.625" style="10" customWidth="1"/>
    <col min="11297" max="11297" width="12.625" style="10" customWidth="1"/>
    <col min="11298" max="11298" width="8.625" style="10" customWidth="1"/>
    <col min="11299" max="11299" width="4.875" style="10" customWidth="1"/>
    <col min="11300" max="11300" width="8.625" style="10" customWidth="1"/>
    <col min="11301" max="11301" width="12.625" style="10" customWidth="1"/>
    <col min="11302" max="11303" width="8.625" style="10" customWidth="1"/>
    <col min="11304" max="11304" width="12.625" style="10" customWidth="1"/>
    <col min="11305" max="11306" width="8.625" style="10" customWidth="1"/>
    <col min="11307" max="11307" width="12.625" style="10" customWidth="1"/>
    <col min="11308" max="11308" width="8.625" style="10" customWidth="1"/>
    <col min="11309" max="11527" width="9" style="10"/>
    <col min="11528" max="11528" width="5.625" style="10" customWidth="1"/>
    <col min="11529" max="11529" width="18.625" style="10" customWidth="1"/>
    <col min="11530" max="11540" width="10.625" style="10" customWidth="1"/>
    <col min="11541" max="11542" width="9" style="10"/>
    <col min="11543" max="11543" width="11.625" style="10" bestFit="1" customWidth="1"/>
    <col min="11544" max="11544" width="11.625" style="10" customWidth="1"/>
    <col min="11545" max="11545" width="8.125" style="10" customWidth="1"/>
    <col min="11546" max="11546" width="8.625" style="10" customWidth="1"/>
    <col min="11547" max="11547" width="12.625" style="10" customWidth="1"/>
    <col min="11548" max="11549" width="8.625" style="10" customWidth="1"/>
    <col min="11550" max="11550" width="12.625" style="10" customWidth="1"/>
    <col min="11551" max="11552" width="8.625" style="10" customWidth="1"/>
    <col min="11553" max="11553" width="12.625" style="10" customWidth="1"/>
    <col min="11554" max="11554" width="8.625" style="10" customWidth="1"/>
    <col min="11555" max="11555" width="4.875" style="10" customWidth="1"/>
    <col min="11556" max="11556" width="8.625" style="10" customWidth="1"/>
    <col min="11557" max="11557" width="12.625" style="10" customWidth="1"/>
    <col min="11558" max="11559" width="8.625" style="10" customWidth="1"/>
    <col min="11560" max="11560" width="12.625" style="10" customWidth="1"/>
    <col min="11561" max="11562" width="8.625" style="10" customWidth="1"/>
    <col min="11563" max="11563" width="12.625" style="10" customWidth="1"/>
    <col min="11564" max="11564" width="8.625" style="10" customWidth="1"/>
    <col min="11565" max="11783" width="9" style="10"/>
    <col min="11784" max="11784" width="5.625" style="10" customWidth="1"/>
    <col min="11785" max="11785" width="18.625" style="10" customWidth="1"/>
    <col min="11786" max="11796" width="10.625" style="10" customWidth="1"/>
    <col min="11797" max="11798" width="9" style="10"/>
    <col min="11799" max="11799" width="11.625" style="10" bestFit="1" customWidth="1"/>
    <col min="11800" max="11800" width="11.625" style="10" customWidth="1"/>
    <col min="11801" max="11801" width="8.125" style="10" customWidth="1"/>
    <col min="11802" max="11802" width="8.625" style="10" customWidth="1"/>
    <col min="11803" max="11803" width="12.625" style="10" customWidth="1"/>
    <col min="11804" max="11805" width="8.625" style="10" customWidth="1"/>
    <col min="11806" max="11806" width="12.625" style="10" customWidth="1"/>
    <col min="11807" max="11808" width="8.625" style="10" customWidth="1"/>
    <col min="11809" max="11809" width="12.625" style="10" customWidth="1"/>
    <col min="11810" max="11810" width="8.625" style="10" customWidth="1"/>
    <col min="11811" max="11811" width="4.875" style="10" customWidth="1"/>
    <col min="11812" max="11812" width="8.625" style="10" customWidth="1"/>
    <col min="11813" max="11813" width="12.625" style="10" customWidth="1"/>
    <col min="11814" max="11815" width="8.625" style="10" customWidth="1"/>
    <col min="11816" max="11816" width="12.625" style="10" customWidth="1"/>
    <col min="11817" max="11818" width="8.625" style="10" customWidth="1"/>
    <col min="11819" max="11819" width="12.625" style="10" customWidth="1"/>
    <col min="11820" max="11820" width="8.625" style="10" customWidth="1"/>
    <col min="11821" max="12039" width="9" style="10"/>
    <col min="12040" max="12040" width="5.625" style="10" customWidth="1"/>
    <col min="12041" max="12041" width="18.625" style="10" customWidth="1"/>
    <col min="12042" max="12052" width="10.625" style="10" customWidth="1"/>
    <col min="12053" max="12054" width="9" style="10"/>
    <col min="12055" max="12055" width="11.625" style="10" bestFit="1" customWidth="1"/>
    <col min="12056" max="12056" width="11.625" style="10" customWidth="1"/>
    <col min="12057" max="12057" width="8.125" style="10" customWidth="1"/>
    <col min="12058" max="12058" width="8.625" style="10" customWidth="1"/>
    <col min="12059" max="12059" width="12.625" style="10" customWidth="1"/>
    <col min="12060" max="12061" width="8.625" style="10" customWidth="1"/>
    <col min="12062" max="12062" width="12.625" style="10" customWidth="1"/>
    <col min="12063" max="12064" width="8.625" style="10" customWidth="1"/>
    <col min="12065" max="12065" width="12.625" style="10" customWidth="1"/>
    <col min="12066" max="12066" width="8.625" style="10" customWidth="1"/>
    <col min="12067" max="12067" width="4.875" style="10" customWidth="1"/>
    <col min="12068" max="12068" width="8.625" style="10" customWidth="1"/>
    <col min="12069" max="12069" width="12.625" style="10" customWidth="1"/>
    <col min="12070" max="12071" width="8.625" style="10" customWidth="1"/>
    <col min="12072" max="12072" width="12.625" style="10" customWidth="1"/>
    <col min="12073" max="12074" width="8.625" style="10" customWidth="1"/>
    <col min="12075" max="12075" width="12.625" style="10" customWidth="1"/>
    <col min="12076" max="12076" width="8.625" style="10" customWidth="1"/>
    <col min="12077" max="12295" width="9" style="10"/>
    <col min="12296" max="12296" width="5.625" style="10" customWidth="1"/>
    <col min="12297" max="12297" width="18.625" style="10" customWidth="1"/>
    <col min="12298" max="12308" width="10.625" style="10" customWidth="1"/>
    <col min="12309" max="12310" width="9" style="10"/>
    <col min="12311" max="12311" width="11.625" style="10" bestFit="1" customWidth="1"/>
    <col min="12312" max="12312" width="11.625" style="10" customWidth="1"/>
    <col min="12313" max="12313" width="8.125" style="10" customWidth="1"/>
    <col min="12314" max="12314" width="8.625" style="10" customWidth="1"/>
    <col min="12315" max="12315" width="12.625" style="10" customWidth="1"/>
    <col min="12316" max="12317" width="8.625" style="10" customWidth="1"/>
    <col min="12318" max="12318" width="12.625" style="10" customWidth="1"/>
    <col min="12319" max="12320" width="8.625" style="10" customWidth="1"/>
    <col min="12321" max="12321" width="12.625" style="10" customWidth="1"/>
    <col min="12322" max="12322" width="8.625" style="10" customWidth="1"/>
    <col min="12323" max="12323" width="4.875" style="10" customWidth="1"/>
    <col min="12324" max="12324" width="8.625" style="10" customWidth="1"/>
    <col min="12325" max="12325" width="12.625" style="10" customWidth="1"/>
    <col min="12326" max="12327" width="8.625" style="10" customWidth="1"/>
    <col min="12328" max="12328" width="12.625" style="10" customWidth="1"/>
    <col min="12329" max="12330" width="8.625" style="10" customWidth="1"/>
    <col min="12331" max="12331" width="12.625" style="10" customWidth="1"/>
    <col min="12332" max="12332" width="8.625" style="10" customWidth="1"/>
    <col min="12333" max="12551" width="9" style="10"/>
    <col min="12552" max="12552" width="5.625" style="10" customWidth="1"/>
    <col min="12553" max="12553" width="18.625" style="10" customWidth="1"/>
    <col min="12554" max="12564" width="10.625" style="10" customWidth="1"/>
    <col min="12565" max="12566" width="9" style="10"/>
    <col min="12567" max="12567" width="11.625" style="10" bestFit="1" customWidth="1"/>
    <col min="12568" max="12568" width="11.625" style="10" customWidth="1"/>
    <col min="12569" max="12569" width="8.125" style="10" customWidth="1"/>
    <col min="12570" max="12570" width="8.625" style="10" customWidth="1"/>
    <col min="12571" max="12571" width="12.625" style="10" customWidth="1"/>
    <col min="12572" max="12573" width="8.625" style="10" customWidth="1"/>
    <col min="12574" max="12574" width="12.625" style="10" customWidth="1"/>
    <col min="12575" max="12576" width="8.625" style="10" customWidth="1"/>
    <col min="12577" max="12577" width="12.625" style="10" customWidth="1"/>
    <col min="12578" max="12578" width="8.625" style="10" customWidth="1"/>
    <col min="12579" max="12579" width="4.875" style="10" customWidth="1"/>
    <col min="12580" max="12580" width="8.625" style="10" customWidth="1"/>
    <col min="12581" max="12581" width="12.625" style="10" customWidth="1"/>
    <col min="12582" max="12583" width="8.625" style="10" customWidth="1"/>
    <col min="12584" max="12584" width="12.625" style="10" customWidth="1"/>
    <col min="12585" max="12586" width="8.625" style="10" customWidth="1"/>
    <col min="12587" max="12587" width="12.625" style="10" customWidth="1"/>
    <col min="12588" max="12588" width="8.625" style="10" customWidth="1"/>
    <col min="12589" max="12807" width="9" style="10"/>
    <col min="12808" max="12808" width="5.625" style="10" customWidth="1"/>
    <col min="12809" max="12809" width="18.625" style="10" customWidth="1"/>
    <col min="12810" max="12820" width="10.625" style="10" customWidth="1"/>
    <col min="12821" max="12822" width="9" style="10"/>
    <col min="12823" max="12823" width="11.625" style="10" bestFit="1" customWidth="1"/>
    <col min="12824" max="12824" width="11.625" style="10" customWidth="1"/>
    <col min="12825" max="12825" width="8.125" style="10" customWidth="1"/>
    <col min="12826" max="12826" width="8.625" style="10" customWidth="1"/>
    <col min="12827" max="12827" width="12.625" style="10" customWidth="1"/>
    <col min="12828" max="12829" width="8.625" style="10" customWidth="1"/>
    <col min="12830" max="12830" width="12.625" style="10" customWidth="1"/>
    <col min="12831" max="12832" width="8.625" style="10" customWidth="1"/>
    <col min="12833" max="12833" width="12.625" style="10" customWidth="1"/>
    <col min="12834" max="12834" width="8.625" style="10" customWidth="1"/>
    <col min="12835" max="12835" width="4.875" style="10" customWidth="1"/>
    <col min="12836" max="12836" width="8.625" style="10" customWidth="1"/>
    <col min="12837" max="12837" width="12.625" style="10" customWidth="1"/>
    <col min="12838" max="12839" width="8.625" style="10" customWidth="1"/>
    <col min="12840" max="12840" width="12.625" style="10" customWidth="1"/>
    <col min="12841" max="12842" width="8.625" style="10" customWidth="1"/>
    <col min="12843" max="12843" width="12.625" style="10" customWidth="1"/>
    <col min="12844" max="12844" width="8.625" style="10" customWidth="1"/>
    <col min="12845" max="13063" width="9" style="10"/>
    <col min="13064" max="13064" width="5.625" style="10" customWidth="1"/>
    <col min="13065" max="13065" width="18.625" style="10" customWidth="1"/>
    <col min="13066" max="13076" width="10.625" style="10" customWidth="1"/>
    <col min="13077" max="13078" width="9" style="10"/>
    <col min="13079" max="13079" width="11.625" style="10" bestFit="1" customWidth="1"/>
    <col min="13080" max="13080" width="11.625" style="10" customWidth="1"/>
    <col min="13081" max="13081" width="8.125" style="10" customWidth="1"/>
    <col min="13082" max="13082" width="8.625" style="10" customWidth="1"/>
    <col min="13083" max="13083" width="12.625" style="10" customWidth="1"/>
    <col min="13084" max="13085" width="8.625" style="10" customWidth="1"/>
    <col min="13086" max="13086" width="12.625" style="10" customWidth="1"/>
    <col min="13087" max="13088" width="8.625" style="10" customWidth="1"/>
    <col min="13089" max="13089" width="12.625" style="10" customWidth="1"/>
    <col min="13090" max="13090" width="8.625" style="10" customWidth="1"/>
    <col min="13091" max="13091" width="4.875" style="10" customWidth="1"/>
    <col min="13092" max="13092" width="8.625" style="10" customWidth="1"/>
    <col min="13093" max="13093" width="12.625" style="10" customWidth="1"/>
    <col min="13094" max="13095" width="8.625" style="10" customWidth="1"/>
    <col min="13096" max="13096" width="12.625" style="10" customWidth="1"/>
    <col min="13097" max="13098" width="8.625" style="10" customWidth="1"/>
    <col min="13099" max="13099" width="12.625" style="10" customWidth="1"/>
    <col min="13100" max="13100" width="8.625" style="10" customWidth="1"/>
    <col min="13101" max="13319" width="9" style="10"/>
    <col min="13320" max="13320" width="5.625" style="10" customWidth="1"/>
    <col min="13321" max="13321" width="18.625" style="10" customWidth="1"/>
    <col min="13322" max="13332" width="10.625" style="10" customWidth="1"/>
    <col min="13333" max="13334" width="9" style="10"/>
    <col min="13335" max="13335" width="11.625" style="10" bestFit="1" customWidth="1"/>
    <col min="13336" max="13336" width="11.625" style="10" customWidth="1"/>
    <col min="13337" max="13337" width="8.125" style="10" customWidth="1"/>
    <col min="13338" max="13338" width="8.625" style="10" customWidth="1"/>
    <col min="13339" max="13339" width="12.625" style="10" customWidth="1"/>
    <col min="13340" max="13341" width="8.625" style="10" customWidth="1"/>
    <col min="13342" max="13342" width="12.625" style="10" customWidth="1"/>
    <col min="13343" max="13344" width="8.625" style="10" customWidth="1"/>
    <col min="13345" max="13345" width="12.625" style="10" customWidth="1"/>
    <col min="13346" max="13346" width="8.625" style="10" customWidth="1"/>
    <col min="13347" max="13347" width="4.875" style="10" customWidth="1"/>
    <col min="13348" max="13348" width="8.625" style="10" customWidth="1"/>
    <col min="13349" max="13349" width="12.625" style="10" customWidth="1"/>
    <col min="13350" max="13351" width="8.625" style="10" customWidth="1"/>
    <col min="13352" max="13352" width="12.625" style="10" customWidth="1"/>
    <col min="13353" max="13354" width="8.625" style="10" customWidth="1"/>
    <col min="13355" max="13355" width="12.625" style="10" customWidth="1"/>
    <col min="13356" max="13356" width="8.625" style="10" customWidth="1"/>
    <col min="13357" max="13575" width="9" style="10"/>
    <col min="13576" max="13576" width="5.625" style="10" customWidth="1"/>
    <col min="13577" max="13577" width="18.625" style="10" customWidth="1"/>
    <col min="13578" max="13588" width="10.625" style="10" customWidth="1"/>
    <col min="13589" max="13590" width="9" style="10"/>
    <col min="13591" max="13591" width="11.625" style="10" bestFit="1" customWidth="1"/>
    <col min="13592" max="13592" width="11.625" style="10" customWidth="1"/>
    <col min="13593" max="13593" width="8.125" style="10" customWidth="1"/>
    <col min="13594" max="13594" width="8.625" style="10" customWidth="1"/>
    <col min="13595" max="13595" width="12.625" style="10" customWidth="1"/>
    <col min="13596" max="13597" width="8.625" style="10" customWidth="1"/>
    <col min="13598" max="13598" width="12.625" style="10" customWidth="1"/>
    <col min="13599" max="13600" width="8.625" style="10" customWidth="1"/>
    <col min="13601" max="13601" width="12.625" style="10" customWidth="1"/>
    <col min="13602" max="13602" width="8.625" style="10" customWidth="1"/>
    <col min="13603" max="13603" width="4.875" style="10" customWidth="1"/>
    <col min="13604" max="13604" width="8.625" style="10" customWidth="1"/>
    <col min="13605" max="13605" width="12.625" style="10" customWidth="1"/>
    <col min="13606" max="13607" width="8.625" style="10" customWidth="1"/>
    <col min="13608" max="13608" width="12.625" style="10" customWidth="1"/>
    <col min="13609" max="13610" width="8.625" style="10" customWidth="1"/>
    <col min="13611" max="13611" width="12.625" style="10" customWidth="1"/>
    <col min="13612" max="13612" width="8.625" style="10" customWidth="1"/>
    <col min="13613" max="13831" width="9" style="10"/>
    <col min="13832" max="13832" width="5.625" style="10" customWidth="1"/>
    <col min="13833" max="13833" width="18.625" style="10" customWidth="1"/>
    <col min="13834" max="13844" width="10.625" style="10" customWidth="1"/>
    <col min="13845" max="13846" width="9" style="10"/>
    <col min="13847" max="13847" width="11.625" style="10" bestFit="1" customWidth="1"/>
    <col min="13848" max="13848" width="11.625" style="10" customWidth="1"/>
    <col min="13849" max="13849" width="8.125" style="10" customWidth="1"/>
    <col min="13850" max="13850" width="8.625" style="10" customWidth="1"/>
    <col min="13851" max="13851" width="12.625" style="10" customWidth="1"/>
    <col min="13852" max="13853" width="8.625" style="10" customWidth="1"/>
    <col min="13854" max="13854" width="12.625" style="10" customWidth="1"/>
    <col min="13855" max="13856" width="8.625" style="10" customWidth="1"/>
    <col min="13857" max="13857" width="12.625" style="10" customWidth="1"/>
    <col min="13858" max="13858" width="8.625" style="10" customWidth="1"/>
    <col min="13859" max="13859" width="4.875" style="10" customWidth="1"/>
    <col min="13860" max="13860" width="8.625" style="10" customWidth="1"/>
    <col min="13861" max="13861" width="12.625" style="10" customWidth="1"/>
    <col min="13862" max="13863" width="8.625" style="10" customWidth="1"/>
    <col min="13864" max="13864" width="12.625" style="10" customWidth="1"/>
    <col min="13865" max="13866" width="8.625" style="10" customWidth="1"/>
    <col min="13867" max="13867" width="12.625" style="10" customWidth="1"/>
    <col min="13868" max="13868" width="8.625" style="10" customWidth="1"/>
    <col min="13869" max="14087" width="9" style="10"/>
    <col min="14088" max="14088" width="5.625" style="10" customWidth="1"/>
    <col min="14089" max="14089" width="18.625" style="10" customWidth="1"/>
    <col min="14090" max="14100" width="10.625" style="10" customWidth="1"/>
    <col min="14101" max="14102" width="9" style="10"/>
    <col min="14103" max="14103" width="11.625" style="10" bestFit="1" customWidth="1"/>
    <col min="14104" max="14104" width="11.625" style="10" customWidth="1"/>
    <col min="14105" max="14105" width="8.125" style="10" customWidth="1"/>
    <col min="14106" max="14106" width="8.625" style="10" customWidth="1"/>
    <col min="14107" max="14107" width="12.625" style="10" customWidth="1"/>
    <col min="14108" max="14109" width="8.625" style="10" customWidth="1"/>
    <col min="14110" max="14110" width="12.625" style="10" customWidth="1"/>
    <col min="14111" max="14112" width="8.625" style="10" customWidth="1"/>
    <col min="14113" max="14113" width="12.625" style="10" customWidth="1"/>
    <col min="14114" max="14114" width="8.625" style="10" customWidth="1"/>
    <col min="14115" max="14115" width="4.875" style="10" customWidth="1"/>
    <col min="14116" max="14116" width="8.625" style="10" customWidth="1"/>
    <col min="14117" max="14117" width="12.625" style="10" customWidth="1"/>
    <col min="14118" max="14119" width="8.625" style="10" customWidth="1"/>
    <col min="14120" max="14120" width="12.625" style="10" customWidth="1"/>
    <col min="14121" max="14122" width="8.625" style="10" customWidth="1"/>
    <col min="14123" max="14123" width="12.625" style="10" customWidth="1"/>
    <col min="14124" max="14124" width="8.625" style="10" customWidth="1"/>
    <col min="14125" max="14343" width="9" style="10"/>
    <col min="14344" max="14344" width="5.625" style="10" customWidth="1"/>
    <col min="14345" max="14345" width="18.625" style="10" customWidth="1"/>
    <col min="14346" max="14356" width="10.625" style="10" customWidth="1"/>
    <col min="14357" max="14358" width="9" style="10"/>
    <col min="14359" max="14359" width="11.625" style="10" bestFit="1" customWidth="1"/>
    <col min="14360" max="14360" width="11.625" style="10" customWidth="1"/>
    <col min="14361" max="14361" width="8.125" style="10" customWidth="1"/>
    <col min="14362" max="14362" width="8.625" style="10" customWidth="1"/>
    <col min="14363" max="14363" width="12.625" style="10" customWidth="1"/>
    <col min="14364" max="14365" width="8.625" style="10" customWidth="1"/>
    <col min="14366" max="14366" width="12.625" style="10" customWidth="1"/>
    <col min="14367" max="14368" width="8.625" style="10" customWidth="1"/>
    <col min="14369" max="14369" width="12.625" style="10" customWidth="1"/>
    <col min="14370" max="14370" width="8.625" style="10" customWidth="1"/>
    <col min="14371" max="14371" width="4.875" style="10" customWidth="1"/>
    <col min="14372" max="14372" width="8.625" style="10" customWidth="1"/>
    <col min="14373" max="14373" width="12.625" style="10" customWidth="1"/>
    <col min="14374" max="14375" width="8.625" style="10" customWidth="1"/>
    <col min="14376" max="14376" width="12.625" style="10" customWidth="1"/>
    <col min="14377" max="14378" width="8.625" style="10" customWidth="1"/>
    <col min="14379" max="14379" width="12.625" style="10" customWidth="1"/>
    <col min="14380" max="14380" width="8.625" style="10" customWidth="1"/>
    <col min="14381" max="14599" width="9" style="10"/>
    <col min="14600" max="14600" width="5.625" style="10" customWidth="1"/>
    <col min="14601" max="14601" width="18.625" style="10" customWidth="1"/>
    <col min="14602" max="14612" width="10.625" style="10" customWidth="1"/>
    <col min="14613" max="14614" width="9" style="10"/>
    <col min="14615" max="14615" width="11.625" style="10" bestFit="1" customWidth="1"/>
    <col min="14616" max="14616" width="11.625" style="10" customWidth="1"/>
    <col min="14617" max="14617" width="8.125" style="10" customWidth="1"/>
    <col min="14618" max="14618" width="8.625" style="10" customWidth="1"/>
    <col min="14619" max="14619" width="12.625" style="10" customWidth="1"/>
    <col min="14620" max="14621" width="8.625" style="10" customWidth="1"/>
    <col min="14622" max="14622" width="12.625" style="10" customWidth="1"/>
    <col min="14623" max="14624" width="8.625" style="10" customWidth="1"/>
    <col min="14625" max="14625" width="12.625" style="10" customWidth="1"/>
    <col min="14626" max="14626" width="8.625" style="10" customWidth="1"/>
    <col min="14627" max="14627" width="4.875" style="10" customWidth="1"/>
    <col min="14628" max="14628" width="8.625" style="10" customWidth="1"/>
    <col min="14629" max="14629" width="12.625" style="10" customWidth="1"/>
    <col min="14630" max="14631" width="8.625" style="10" customWidth="1"/>
    <col min="14632" max="14632" width="12.625" style="10" customWidth="1"/>
    <col min="14633" max="14634" width="8.625" style="10" customWidth="1"/>
    <col min="14635" max="14635" width="12.625" style="10" customWidth="1"/>
    <col min="14636" max="14636" width="8.625" style="10" customWidth="1"/>
    <col min="14637" max="14855" width="9" style="10"/>
    <col min="14856" max="14856" width="5.625" style="10" customWidth="1"/>
    <col min="14857" max="14857" width="18.625" style="10" customWidth="1"/>
    <col min="14858" max="14868" width="10.625" style="10" customWidth="1"/>
    <col min="14869" max="14870" width="9" style="10"/>
    <col min="14871" max="14871" width="11.625" style="10" bestFit="1" customWidth="1"/>
    <col min="14872" max="14872" width="11.625" style="10" customWidth="1"/>
    <col min="14873" max="14873" width="8.125" style="10" customWidth="1"/>
    <col min="14874" max="14874" width="8.625" style="10" customWidth="1"/>
    <col min="14875" max="14875" width="12.625" style="10" customWidth="1"/>
    <col min="14876" max="14877" width="8.625" style="10" customWidth="1"/>
    <col min="14878" max="14878" width="12.625" style="10" customWidth="1"/>
    <col min="14879" max="14880" width="8.625" style="10" customWidth="1"/>
    <col min="14881" max="14881" width="12.625" style="10" customWidth="1"/>
    <col min="14882" max="14882" width="8.625" style="10" customWidth="1"/>
    <col min="14883" max="14883" width="4.875" style="10" customWidth="1"/>
    <col min="14884" max="14884" width="8.625" style="10" customWidth="1"/>
    <col min="14885" max="14885" width="12.625" style="10" customWidth="1"/>
    <col min="14886" max="14887" width="8.625" style="10" customWidth="1"/>
    <col min="14888" max="14888" width="12.625" style="10" customWidth="1"/>
    <col min="14889" max="14890" width="8.625" style="10" customWidth="1"/>
    <col min="14891" max="14891" width="12.625" style="10" customWidth="1"/>
    <col min="14892" max="14892" width="8.625" style="10" customWidth="1"/>
    <col min="14893" max="15111" width="9" style="10"/>
    <col min="15112" max="15112" width="5.625" style="10" customWidth="1"/>
    <col min="15113" max="15113" width="18.625" style="10" customWidth="1"/>
    <col min="15114" max="15124" width="10.625" style="10" customWidth="1"/>
    <col min="15125" max="15126" width="9" style="10"/>
    <col min="15127" max="15127" width="11.625" style="10" bestFit="1" customWidth="1"/>
    <col min="15128" max="15128" width="11.625" style="10" customWidth="1"/>
    <col min="15129" max="15129" width="8.125" style="10" customWidth="1"/>
    <col min="15130" max="15130" width="8.625" style="10" customWidth="1"/>
    <col min="15131" max="15131" width="12.625" style="10" customWidth="1"/>
    <col min="15132" max="15133" width="8.625" style="10" customWidth="1"/>
    <col min="15134" max="15134" width="12.625" style="10" customWidth="1"/>
    <col min="15135" max="15136" width="8.625" style="10" customWidth="1"/>
    <col min="15137" max="15137" width="12.625" style="10" customWidth="1"/>
    <col min="15138" max="15138" width="8.625" style="10" customWidth="1"/>
    <col min="15139" max="15139" width="4.875" style="10" customWidth="1"/>
    <col min="15140" max="15140" width="8.625" style="10" customWidth="1"/>
    <col min="15141" max="15141" width="12.625" style="10" customWidth="1"/>
    <col min="15142" max="15143" width="8.625" style="10" customWidth="1"/>
    <col min="15144" max="15144" width="12.625" style="10" customWidth="1"/>
    <col min="15145" max="15146" width="8.625" style="10" customWidth="1"/>
    <col min="15147" max="15147" width="12.625" style="10" customWidth="1"/>
    <col min="15148" max="15148" width="8.625" style="10" customWidth="1"/>
    <col min="15149" max="15367" width="9" style="10"/>
    <col min="15368" max="15368" width="5.625" style="10" customWidth="1"/>
    <col min="15369" max="15369" width="18.625" style="10" customWidth="1"/>
    <col min="15370" max="15380" width="10.625" style="10" customWidth="1"/>
    <col min="15381" max="15382" width="9" style="10"/>
    <col min="15383" max="15383" width="11.625" style="10" bestFit="1" customWidth="1"/>
    <col min="15384" max="15384" width="11.625" style="10" customWidth="1"/>
    <col min="15385" max="15385" width="8.125" style="10" customWidth="1"/>
    <col min="15386" max="15386" width="8.625" style="10" customWidth="1"/>
    <col min="15387" max="15387" width="12.625" style="10" customWidth="1"/>
    <col min="15388" max="15389" width="8.625" style="10" customWidth="1"/>
    <col min="15390" max="15390" width="12.625" style="10" customWidth="1"/>
    <col min="15391" max="15392" width="8.625" style="10" customWidth="1"/>
    <col min="15393" max="15393" width="12.625" style="10" customWidth="1"/>
    <col min="15394" max="15394" width="8.625" style="10" customWidth="1"/>
    <col min="15395" max="15395" width="4.875" style="10" customWidth="1"/>
    <col min="15396" max="15396" width="8.625" style="10" customWidth="1"/>
    <col min="15397" max="15397" width="12.625" style="10" customWidth="1"/>
    <col min="15398" max="15399" width="8.625" style="10" customWidth="1"/>
    <col min="15400" max="15400" width="12.625" style="10" customWidth="1"/>
    <col min="15401" max="15402" width="8.625" style="10" customWidth="1"/>
    <col min="15403" max="15403" width="12.625" style="10" customWidth="1"/>
    <col min="15404" max="15404" width="8.625" style="10" customWidth="1"/>
    <col min="15405" max="15623" width="9" style="10"/>
    <col min="15624" max="15624" width="5.625" style="10" customWidth="1"/>
    <col min="15625" max="15625" width="18.625" style="10" customWidth="1"/>
    <col min="15626" max="15636" width="10.625" style="10" customWidth="1"/>
    <col min="15637" max="15638" width="9" style="10"/>
    <col min="15639" max="15639" width="11.625" style="10" bestFit="1" customWidth="1"/>
    <col min="15640" max="15640" width="11.625" style="10" customWidth="1"/>
    <col min="15641" max="15641" width="8.125" style="10" customWidth="1"/>
    <col min="15642" max="15642" width="8.625" style="10" customWidth="1"/>
    <col min="15643" max="15643" width="12.625" style="10" customWidth="1"/>
    <col min="15644" max="15645" width="8.625" style="10" customWidth="1"/>
    <col min="15646" max="15646" width="12.625" style="10" customWidth="1"/>
    <col min="15647" max="15648" width="8.625" style="10" customWidth="1"/>
    <col min="15649" max="15649" width="12.625" style="10" customWidth="1"/>
    <col min="15650" max="15650" width="8.625" style="10" customWidth="1"/>
    <col min="15651" max="15651" width="4.875" style="10" customWidth="1"/>
    <col min="15652" max="15652" width="8.625" style="10" customWidth="1"/>
    <col min="15653" max="15653" width="12.625" style="10" customWidth="1"/>
    <col min="15654" max="15655" width="8.625" style="10" customWidth="1"/>
    <col min="15656" max="15656" width="12.625" style="10" customWidth="1"/>
    <col min="15657" max="15658" width="8.625" style="10" customWidth="1"/>
    <col min="15659" max="15659" width="12.625" style="10" customWidth="1"/>
    <col min="15660" max="15660" width="8.625" style="10" customWidth="1"/>
    <col min="15661" max="15879" width="9" style="10"/>
    <col min="15880" max="15880" width="5.625" style="10" customWidth="1"/>
    <col min="15881" max="15881" width="18.625" style="10" customWidth="1"/>
    <col min="15882" max="15892" width="10.625" style="10" customWidth="1"/>
    <col min="15893" max="15894" width="9" style="10"/>
    <col min="15895" max="15895" width="11.625" style="10" bestFit="1" customWidth="1"/>
    <col min="15896" max="15896" width="11.625" style="10" customWidth="1"/>
    <col min="15897" max="15897" width="8.125" style="10" customWidth="1"/>
    <col min="15898" max="15898" width="8.625" style="10" customWidth="1"/>
    <col min="15899" max="15899" width="12.625" style="10" customWidth="1"/>
    <col min="15900" max="15901" width="8.625" style="10" customWidth="1"/>
    <col min="15902" max="15902" width="12.625" style="10" customWidth="1"/>
    <col min="15903" max="15904" width="8.625" style="10" customWidth="1"/>
    <col min="15905" max="15905" width="12.625" style="10" customWidth="1"/>
    <col min="15906" max="15906" width="8.625" style="10" customWidth="1"/>
    <col min="15907" max="15907" width="4.875" style="10" customWidth="1"/>
    <col min="15908" max="15908" width="8.625" style="10" customWidth="1"/>
    <col min="15909" max="15909" width="12.625" style="10" customWidth="1"/>
    <col min="15910" max="15911" width="8.625" style="10" customWidth="1"/>
    <col min="15912" max="15912" width="12.625" style="10" customWidth="1"/>
    <col min="15913" max="15914" width="8.625" style="10" customWidth="1"/>
    <col min="15915" max="15915" width="12.625" style="10" customWidth="1"/>
    <col min="15916" max="15916" width="8.625" style="10" customWidth="1"/>
    <col min="15917" max="16135" width="9" style="10"/>
    <col min="16136" max="16136" width="5.625" style="10" customWidth="1"/>
    <col min="16137" max="16137" width="18.625" style="10" customWidth="1"/>
    <col min="16138" max="16148" width="10.625" style="10" customWidth="1"/>
    <col min="16149" max="16150" width="9" style="10"/>
    <col min="16151" max="16151" width="11.625" style="10" bestFit="1" customWidth="1"/>
    <col min="16152" max="16152" width="11.625" style="10" customWidth="1"/>
    <col min="16153" max="16153" width="8.125" style="10" customWidth="1"/>
    <col min="16154" max="16154" width="8.625" style="10" customWidth="1"/>
    <col min="16155" max="16155" width="12.625" style="10" customWidth="1"/>
    <col min="16156" max="16157" width="8.625" style="10" customWidth="1"/>
    <col min="16158" max="16158" width="12.625" style="10" customWidth="1"/>
    <col min="16159" max="16160" width="8.625" style="10" customWidth="1"/>
    <col min="16161" max="16161" width="12.625" style="10" customWidth="1"/>
    <col min="16162" max="16162" width="8.625" style="10" customWidth="1"/>
    <col min="16163" max="16163" width="4.875" style="10" customWidth="1"/>
    <col min="16164" max="16164" width="8.625" style="10" customWidth="1"/>
    <col min="16165" max="16165" width="12.625" style="10" customWidth="1"/>
    <col min="16166" max="16167" width="8.625" style="10" customWidth="1"/>
    <col min="16168" max="16168" width="12.625" style="10" customWidth="1"/>
    <col min="16169" max="16170" width="8.625" style="10" customWidth="1"/>
    <col min="16171" max="16171" width="12.625" style="10" customWidth="1"/>
    <col min="16172" max="16172" width="8.625" style="10" customWidth="1"/>
    <col min="16173" max="16384" width="9" style="10"/>
  </cols>
  <sheetData>
    <row r="2" spans="2:44" x14ac:dyDescent="0.15">
      <c r="L2" s="210">
        <v>0</v>
      </c>
      <c r="M2" s="210"/>
      <c r="N2" s="210"/>
      <c r="O2" s="210"/>
      <c r="P2" s="210"/>
      <c r="X2" s="11"/>
    </row>
    <row r="3" spans="2:44" ht="14.25" thickBot="1" x14ac:dyDescent="0.2"/>
    <row r="4" spans="2:44" ht="18" thickBot="1" x14ac:dyDescent="0.25">
      <c r="B4" s="12">
        <f>Menu!F15</f>
        <v>44736</v>
      </c>
      <c r="C4" s="13" t="str">
        <f>IF(Menu!S11=1,"給料",IF(MONTH(B4)=7,"夏季賞与",IF(MONTH(B4)=12,"冬季賞与","臨時賞与")))</f>
        <v>臨時賞与</v>
      </c>
      <c r="D4" s="13"/>
      <c r="E4" s="13"/>
      <c r="F4" s="14" t="s">
        <v>2</v>
      </c>
    </row>
    <row r="5" spans="2:44" ht="30" customHeight="1" x14ac:dyDescent="0.15">
      <c r="B5" s="15"/>
      <c r="C5" s="16" t="s">
        <v>3</v>
      </c>
      <c r="D5" s="17" t="s">
        <v>4</v>
      </c>
      <c r="E5" s="17" t="s">
        <v>5</v>
      </c>
      <c r="F5" s="18" t="s">
        <v>6</v>
      </c>
      <c r="G5" s="18" t="s">
        <v>7</v>
      </c>
      <c r="H5" s="18" t="s">
        <v>123</v>
      </c>
      <c r="I5" s="18" t="s">
        <v>8</v>
      </c>
      <c r="J5" s="18" t="s">
        <v>113</v>
      </c>
      <c r="K5" s="18" t="s">
        <v>124</v>
      </c>
      <c r="L5" s="18" t="s">
        <v>9</v>
      </c>
      <c r="M5" s="18" t="s">
        <v>10</v>
      </c>
      <c r="N5" s="18" t="s">
        <v>11</v>
      </c>
      <c r="O5" s="19" t="s">
        <v>114</v>
      </c>
      <c r="P5" s="19" t="s">
        <v>115</v>
      </c>
      <c r="Q5" s="18" t="s">
        <v>116</v>
      </c>
      <c r="R5" s="18" t="s">
        <v>247</v>
      </c>
      <c r="S5" s="220" t="s">
        <v>248</v>
      </c>
      <c r="T5" s="20" t="s">
        <v>12</v>
      </c>
      <c r="U5" s="21" t="s">
        <v>13</v>
      </c>
      <c r="V5" s="22" t="s">
        <v>14</v>
      </c>
      <c r="W5" s="23" t="s">
        <v>15</v>
      </c>
      <c r="X5" s="24" t="s">
        <v>16</v>
      </c>
    </row>
    <row r="6" spans="2:44" ht="15" customHeight="1" x14ac:dyDescent="0.15">
      <c r="B6" s="25" t="s">
        <v>17</v>
      </c>
      <c r="C6" s="26">
        <v>101</v>
      </c>
      <c r="D6" s="27">
        <v>102</v>
      </c>
      <c r="E6" s="27">
        <v>103</v>
      </c>
      <c r="F6" s="28">
        <v>201</v>
      </c>
      <c r="G6" s="28">
        <v>202</v>
      </c>
      <c r="H6" s="28">
        <v>204</v>
      </c>
      <c r="I6" s="28">
        <v>203</v>
      </c>
      <c r="J6" s="28">
        <v>202</v>
      </c>
      <c r="K6" s="28">
        <v>204</v>
      </c>
      <c r="L6" s="28">
        <v>301</v>
      </c>
      <c r="M6" s="28">
        <v>302</v>
      </c>
      <c r="N6" s="28">
        <v>303</v>
      </c>
      <c r="O6" s="29">
        <v>303</v>
      </c>
      <c r="P6" s="29">
        <v>304</v>
      </c>
      <c r="Q6" s="28">
        <v>304</v>
      </c>
      <c r="R6" s="28">
        <v>305</v>
      </c>
      <c r="S6" s="221">
        <v>305</v>
      </c>
      <c r="T6" s="30"/>
      <c r="U6" s="31"/>
      <c r="V6" s="32"/>
      <c r="W6" s="33"/>
      <c r="X6" s="34"/>
    </row>
    <row r="7" spans="2:44" ht="15" customHeight="1" x14ac:dyDescent="0.15">
      <c r="B7" s="35"/>
      <c r="C7" s="36"/>
      <c r="D7" s="37"/>
      <c r="E7" s="37"/>
      <c r="F7" s="38"/>
      <c r="G7" s="38"/>
      <c r="H7" s="38"/>
      <c r="I7" s="38"/>
      <c r="J7" s="38"/>
      <c r="K7" s="38"/>
      <c r="L7" s="38"/>
      <c r="M7" s="38"/>
      <c r="N7" s="38"/>
      <c r="O7" s="39"/>
      <c r="P7" s="39"/>
      <c r="Q7" s="38"/>
      <c r="R7" s="38"/>
      <c r="S7" s="222"/>
      <c r="T7" s="40"/>
      <c r="U7" s="41"/>
      <c r="V7" s="42"/>
      <c r="W7" s="33"/>
      <c r="X7" s="34"/>
    </row>
    <row r="8" spans="2:44" ht="15" customHeight="1" x14ac:dyDescent="0.15">
      <c r="B8" s="35"/>
      <c r="C8" s="36"/>
      <c r="D8" s="37"/>
      <c r="E8" s="37"/>
      <c r="F8" s="38"/>
      <c r="G8" s="38"/>
      <c r="H8" s="38"/>
      <c r="I8" s="38"/>
      <c r="J8" s="38"/>
      <c r="K8" s="38"/>
      <c r="L8" s="38"/>
      <c r="M8" s="38"/>
      <c r="N8" s="38"/>
      <c r="O8" s="39"/>
      <c r="P8" s="39"/>
      <c r="Q8" s="38"/>
      <c r="R8" s="38"/>
      <c r="S8" s="222"/>
      <c r="T8" s="40"/>
      <c r="U8" s="41"/>
      <c r="V8" s="42"/>
      <c r="W8" s="33"/>
      <c r="X8" s="34"/>
    </row>
    <row r="9" spans="2:44" ht="15" customHeight="1" x14ac:dyDescent="0.15">
      <c r="B9" s="35"/>
      <c r="C9" s="36"/>
      <c r="D9" s="37"/>
      <c r="E9" s="37"/>
      <c r="F9" s="38"/>
      <c r="G9" s="38"/>
      <c r="H9" s="38"/>
      <c r="I9" s="38"/>
      <c r="J9" s="38"/>
      <c r="K9" s="38"/>
      <c r="L9" s="38"/>
      <c r="M9" s="38"/>
      <c r="N9" s="38"/>
      <c r="O9" s="39"/>
      <c r="P9" s="39"/>
      <c r="Q9" s="38"/>
      <c r="R9" s="38"/>
      <c r="S9" s="222"/>
      <c r="T9" s="40"/>
      <c r="U9" s="41"/>
      <c r="V9" s="42"/>
      <c r="W9" s="33"/>
      <c r="X9" s="34"/>
      <c r="Z9" s="43" t="s">
        <v>18</v>
      </c>
      <c r="AJ9" s="43" t="s">
        <v>19</v>
      </c>
    </row>
    <row r="10" spans="2:44" ht="15" customHeight="1" thickBot="1" x14ac:dyDescent="0.2">
      <c r="B10" s="44"/>
      <c r="C10" s="45"/>
      <c r="D10" s="46"/>
      <c r="E10" s="46"/>
      <c r="F10" s="47"/>
      <c r="G10" s="47"/>
      <c r="H10" s="47"/>
      <c r="I10" s="47"/>
      <c r="J10" s="47"/>
      <c r="K10" s="47"/>
      <c r="L10" s="47"/>
      <c r="M10" s="47"/>
      <c r="N10" s="47"/>
      <c r="O10" s="48"/>
      <c r="P10" s="48"/>
      <c r="Q10" s="47"/>
      <c r="R10" s="47"/>
      <c r="S10" s="223"/>
      <c r="T10" s="49"/>
      <c r="U10" s="50"/>
      <c r="V10" s="51"/>
      <c r="W10" s="52"/>
      <c r="X10" s="53"/>
      <c r="Z10" s="10" t="s">
        <v>20</v>
      </c>
      <c r="AJ10" s="10" t="s">
        <v>20</v>
      </c>
    </row>
    <row r="11" spans="2:44" ht="18" customHeight="1" thickTop="1" thickBot="1" x14ac:dyDescent="0.2">
      <c r="B11" s="54" t="s">
        <v>21</v>
      </c>
      <c r="C11" s="55">
        <v>4</v>
      </c>
      <c r="D11" s="56">
        <v>3</v>
      </c>
      <c r="E11" s="56"/>
      <c r="F11" s="57">
        <v>14</v>
      </c>
      <c r="G11" s="57">
        <v>7</v>
      </c>
      <c r="H11" s="57">
        <v>2</v>
      </c>
      <c r="I11" s="57">
        <v>6</v>
      </c>
      <c r="J11" s="57">
        <v>6</v>
      </c>
      <c r="K11" s="57"/>
      <c r="L11" s="57">
        <v>14</v>
      </c>
      <c r="M11" s="57">
        <v>7</v>
      </c>
      <c r="N11" s="57">
        <v>8</v>
      </c>
      <c r="O11" s="58">
        <v>6</v>
      </c>
      <c r="P11" s="58">
        <v>4</v>
      </c>
      <c r="Q11" s="57">
        <v>2</v>
      </c>
      <c r="R11" s="57">
        <v>2</v>
      </c>
      <c r="S11" s="224">
        <v>2</v>
      </c>
      <c r="T11" s="59">
        <f>SUM(C11:S11)</f>
        <v>87</v>
      </c>
      <c r="U11" s="60" t="s">
        <v>22</v>
      </c>
      <c r="V11" s="61"/>
      <c r="W11" s="62" t="s">
        <v>23</v>
      </c>
      <c r="X11" s="63"/>
      <c r="Z11" s="10" t="s">
        <v>3</v>
      </c>
      <c r="AC11" s="10" t="s">
        <v>6</v>
      </c>
      <c r="AF11" s="10" t="s">
        <v>9</v>
      </c>
      <c r="AJ11" s="10" t="s">
        <v>3</v>
      </c>
      <c r="AM11" s="10" t="s">
        <v>6</v>
      </c>
      <c r="AP11" s="10" t="s">
        <v>9</v>
      </c>
    </row>
    <row r="12" spans="2:44" ht="18" customHeight="1" thickBot="1" x14ac:dyDescent="0.2">
      <c r="B12" s="64" t="s">
        <v>24</v>
      </c>
      <c r="C12" s="65">
        <v>1584867</v>
      </c>
      <c r="D12" s="66">
        <v>2152669</v>
      </c>
      <c r="E12" s="66"/>
      <c r="F12" s="67">
        <v>4727205</v>
      </c>
      <c r="G12" s="67">
        <v>2314036</v>
      </c>
      <c r="H12" s="67">
        <v>396259</v>
      </c>
      <c r="I12" s="67">
        <v>1224506</v>
      </c>
      <c r="J12" s="67">
        <v>693917</v>
      </c>
      <c r="K12" s="67"/>
      <c r="L12" s="67">
        <v>5299530</v>
      </c>
      <c r="M12" s="67">
        <v>1615677</v>
      </c>
      <c r="N12" s="67">
        <v>1822317</v>
      </c>
      <c r="O12" s="68">
        <v>1214736</v>
      </c>
      <c r="P12" s="68">
        <v>1248656</v>
      </c>
      <c r="Q12" s="67">
        <v>282102</v>
      </c>
      <c r="R12" s="67">
        <v>740020</v>
      </c>
      <c r="S12" s="225">
        <v>373947</v>
      </c>
      <c r="T12" s="69">
        <f>SUM(C12:S12)</f>
        <v>25690444</v>
      </c>
      <c r="U12" s="70" t="s">
        <v>25</v>
      </c>
      <c r="V12" s="71" t="s">
        <v>26</v>
      </c>
      <c r="W12" s="33" t="s">
        <v>27</v>
      </c>
      <c r="X12" s="34" t="s">
        <v>121</v>
      </c>
      <c r="Z12" s="72" t="s">
        <v>14</v>
      </c>
      <c r="AA12" s="73" t="s">
        <v>28</v>
      </c>
      <c r="AB12" s="74" t="s">
        <v>29</v>
      </c>
      <c r="AC12" s="75" t="s">
        <v>14</v>
      </c>
      <c r="AD12" s="73" t="s">
        <v>28</v>
      </c>
      <c r="AE12" s="74" t="s">
        <v>29</v>
      </c>
      <c r="AF12" s="75" t="s">
        <v>14</v>
      </c>
      <c r="AG12" s="73" t="s">
        <v>28</v>
      </c>
      <c r="AH12" s="76" t="s">
        <v>29</v>
      </c>
      <c r="AJ12" s="72" t="s">
        <v>14</v>
      </c>
      <c r="AK12" s="73" t="s">
        <v>28</v>
      </c>
      <c r="AL12" s="74" t="s">
        <v>29</v>
      </c>
      <c r="AM12" s="75" t="s">
        <v>14</v>
      </c>
      <c r="AN12" s="73" t="s">
        <v>28</v>
      </c>
      <c r="AO12" s="74" t="s">
        <v>29</v>
      </c>
      <c r="AP12" s="75" t="s">
        <v>14</v>
      </c>
      <c r="AQ12" s="73" t="s">
        <v>28</v>
      </c>
      <c r="AR12" s="76" t="s">
        <v>29</v>
      </c>
    </row>
    <row r="13" spans="2:44" ht="18" customHeight="1" thickTop="1" x14ac:dyDescent="0.15">
      <c r="B13" s="64" t="s">
        <v>30</v>
      </c>
      <c r="C13" s="77"/>
      <c r="D13" s="78"/>
      <c r="E13" s="78"/>
      <c r="F13" s="79"/>
      <c r="G13" s="79"/>
      <c r="H13" s="79"/>
      <c r="I13" s="79"/>
      <c r="J13" s="79"/>
      <c r="K13" s="79"/>
      <c r="L13" s="79"/>
      <c r="M13" s="79"/>
      <c r="N13" s="79"/>
      <c r="O13" s="80"/>
      <c r="P13" s="80"/>
      <c r="Q13" s="79"/>
      <c r="R13" s="79"/>
      <c r="S13" s="226"/>
      <c r="T13" s="81">
        <f t="shared" ref="T13:T30" si="0">SUM(C13:S13)</f>
        <v>0</v>
      </c>
      <c r="U13" s="82" t="s">
        <v>31</v>
      </c>
      <c r="V13" s="83" t="s">
        <v>32</v>
      </c>
      <c r="W13" s="33" t="s">
        <v>27</v>
      </c>
      <c r="X13" s="34" t="s">
        <v>33</v>
      </c>
      <c r="Z13" s="84"/>
      <c r="AA13" s="85"/>
      <c r="AB13" s="86"/>
      <c r="AC13" s="87"/>
      <c r="AD13" s="85"/>
      <c r="AE13" s="86"/>
      <c r="AF13" s="85">
        <v>575</v>
      </c>
      <c r="AG13" s="85" t="s">
        <v>34</v>
      </c>
      <c r="AH13" s="88">
        <v>10000</v>
      </c>
      <c r="AJ13" s="84"/>
      <c r="AK13" s="85"/>
      <c r="AL13" s="86"/>
      <c r="AM13" s="87"/>
      <c r="AN13" s="85"/>
      <c r="AO13" s="86"/>
      <c r="AP13" s="85">
        <v>575</v>
      </c>
      <c r="AQ13" s="85" t="s">
        <v>34</v>
      </c>
      <c r="AR13" s="88">
        <v>20000</v>
      </c>
    </row>
    <row r="14" spans="2:44" ht="18" customHeight="1" x14ac:dyDescent="0.15">
      <c r="B14" s="89" t="s">
        <v>35</v>
      </c>
      <c r="C14" s="90"/>
      <c r="D14" s="91"/>
      <c r="E14" s="91"/>
      <c r="F14" s="92"/>
      <c r="G14" s="92"/>
      <c r="H14" s="92"/>
      <c r="I14" s="92"/>
      <c r="J14" s="92"/>
      <c r="K14" s="92"/>
      <c r="L14" s="92"/>
      <c r="M14" s="92"/>
      <c r="N14" s="92"/>
      <c r="O14" s="93"/>
      <c r="P14" s="93"/>
      <c r="Q14" s="92"/>
      <c r="R14" s="92"/>
      <c r="S14" s="227"/>
      <c r="T14" s="94">
        <f t="shared" si="0"/>
        <v>0</v>
      </c>
      <c r="U14" s="95" t="s">
        <v>36</v>
      </c>
      <c r="V14" s="96"/>
      <c r="W14" s="97" t="s">
        <v>37</v>
      </c>
      <c r="X14" s="98"/>
      <c r="Z14" s="99"/>
      <c r="AA14" s="100"/>
      <c r="AB14" s="101"/>
      <c r="AC14" s="100"/>
      <c r="AD14" s="100"/>
      <c r="AE14" s="101"/>
      <c r="AF14" s="100">
        <v>501</v>
      </c>
      <c r="AG14" s="100" t="s">
        <v>127</v>
      </c>
      <c r="AH14" s="102">
        <v>150000</v>
      </c>
      <c r="AJ14" s="99"/>
      <c r="AK14" s="100"/>
      <c r="AL14" s="101"/>
      <c r="AM14" s="100"/>
      <c r="AN14" s="100"/>
      <c r="AO14" s="101"/>
      <c r="AP14" s="100"/>
      <c r="AQ14" s="100"/>
      <c r="AR14" s="102"/>
    </row>
    <row r="15" spans="2:44" ht="18" customHeight="1" x14ac:dyDescent="0.15">
      <c r="B15" s="64" t="s">
        <v>38</v>
      </c>
      <c r="C15" s="65">
        <v>104000</v>
      </c>
      <c r="D15" s="66">
        <v>79560</v>
      </c>
      <c r="E15" s="66"/>
      <c r="F15" s="67">
        <v>310336</v>
      </c>
      <c r="G15" s="67">
        <v>146536</v>
      </c>
      <c r="H15" s="67">
        <v>24440</v>
      </c>
      <c r="I15" s="67">
        <v>77688</v>
      </c>
      <c r="J15" s="67">
        <v>42900</v>
      </c>
      <c r="K15" s="67"/>
      <c r="L15" s="67">
        <v>369460</v>
      </c>
      <c r="M15" s="67">
        <v>106444</v>
      </c>
      <c r="N15" s="67">
        <v>115024</v>
      </c>
      <c r="O15" s="68">
        <v>77012</v>
      </c>
      <c r="P15" s="68">
        <v>80080</v>
      </c>
      <c r="Q15" s="67">
        <v>18044</v>
      </c>
      <c r="R15" s="67">
        <v>48152</v>
      </c>
      <c r="S15" s="225">
        <v>23036</v>
      </c>
      <c r="T15" s="69">
        <f t="shared" si="0"/>
        <v>1622712</v>
      </c>
      <c r="U15" s="70" t="s">
        <v>39</v>
      </c>
      <c r="V15" s="71" t="s">
        <v>40</v>
      </c>
      <c r="W15" s="62" t="s">
        <v>41</v>
      </c>
      <c r="X15" s="63" t="s">
        <v>38</v>
      </c>
      <c r="Z15" s="99"/>
      <c r="AA15" s="100"/>
      <c r="AB15" s="101"/>
      <c r="AC15" s="100"/>
      <c r="AD15" s="100"/>
      <c r="AE15" s="101"/>
      <c r="AF15" s="100"/>
      <c r="AG15" s="100"/>
      <c r="AH15" s="102"/>
      <c r="AJ15" s="99"/>
      <c r="AK15" s="100"/>
      <c r="AL15" s="101"/>
      <c r="AM15" s="100"/>
      <c r="AN15" s="100"/>
      <c r="AO15" s="101"/>
      <c r="AP15" s="100"/>
      <c r="AQ15" s="100"/>
      <c r="AR15" s="102"/>
    </row>
    <row r="16" spans="2:44" ht="18" customHeight="1" x14ac:dyDescent="0.15">
      <c r="B16" s="103" t="s">
        <v>42</v>
      </c>
      <c r="C16" s="77">
        <v>10191</v>
      </c>
      <c r="D16" s="78">
        <v>13005</v>
      </c>
      <c r="E16" s="78"/>
      <c r="F16" s="79">
        <v>31610</v>
      </c>
      <c r="G16" s="79">
        <v>2822</v>
      </c>
      <c r="H16" s="79"/>
      <c r="I16" s="79">
        <v>9892</v>
      </c>
      <c r="J16" s="79">
        <v>187</v>
      </c>
      <c r="K16" s="79"/>
      <c r="L16" s="79">
        <v>48226</v>
      </c>
      <c r="M16" s="79">
        <v>8941</v>
      </c>
      <c r="N16" s="79"/>
      <c r="O16" s="80">
        <v>5932</v>
      </c>
      <c r="P16" s="80">
        <v>11151</v>
      </c>
      <c r="Q16" s="79">
        <v>2949</v>
      </c>
      <c r="R16" s="79"/>
      <c r="S16" s="226"/>
      <c r="T16" s="104">
        <f t="shared" si="0"/>
        <v>144906</v>
      </c>
      <c r="U16" s="82" t="s">
        <v>43</v>
      </c>
      <c r="V16" s="83" t="s">
        <v>40</v>
      </c>
      <c r="W16" s="33" t="s">
        <v>41</v>
      </c>
      <c r="X16" s="34" t="s">
        <v>38</v>
      </c>
      <c r="Z16" s="99"/>
      <c r="AA16" s="100"/>
      <c r="AB16" s="101"/>
      <c r="AC16" s="100"/>
      <c r="AD16" s="100"/>
      <c r="AE16" s="101"/>
      <c r="AF16" s="100"/>
      <c r="AG16" s="100"/>
      <c r="AH16" s="102"/>
      <c r="AJ16" s="99"/>
      <c r="AK16" s="100"/>
      <c r="AL16" s="101"/>
      <c r="AM16" s="100"/>
      <c r="AN16" s="100"/>
      <c r="AO16" s="101"/>
      <c r="AP16" s="100"/>
      <c r="AQ16" s="100"/>
      <c r="AR16" s="102"/>
    </row>
    <row r="17" spans="2:44" ht="18" customHeight="1" x14ac:dyDescent="0.15">
      <c r="B17" s="103" t="s">
        <v>44</v>
      </c>
      <c r="C17" s="77">
        <v>182999</v>
      </c>
      <c r="D17" s="78">
        <v>139995</v>
      </c>
      <c r="E17" s="78"/>
      <c r="F17" s="79">
        <v>546069</v>
      </c>
      <c r="G17" s="79">
        <v>257847</v>
      </c>
      <c r="H17" s="79">
        <v>43005</v>
      </c>
      <c r="I17" s="79">
        <v>136699</v>
      </c>
      <c r="J17" s="79">
        <v>75487</v>
      </c>
      <c r="K17" s="79"/>
      <c r="L17" s="79">
        <v>624026</v>
      </c>
      <c r="M17" s="79">
        <v>185102</v>
      </c>
      <c r="N17" s="79">
        <v>202396</v>
      </c>
      <c r="O17" s="80">
        <v>132582</v>
      </c>
      <c r="P17" s="80">
        <v>140909</v>
      </c>
      <c r="Q17" s="79">
        <v>31750</v>
      </c>
      <c r="R17" s="79">
        <v>84728</v>
      </c>
      <c r="S17" s="226">
        <v>40534</v>
      </c>
      <c r="T17" s="104">
        <f t="shared" si="0"/>
        <v>2824128</v>
      </c>
      <c r="U17" s="82" t="s">
        <v>43</v>
      </c>
      <c r="V17" s="83" t="s">
        <v>45</v>
      </c>
      <c r="W17" s="33" t="s">
        <v>41</v>
      </c>
      <c r="X17" s="34" t="s">
        <v>44</v>
      </c>
      <c r="Z17" s="99"/>
      <c r="AA17" s="100"/>
      <c r="AB17" s="101"/>
      <c r="AC17" s="100"/>
      <c r="AD17" s="100"/>
      <c r="AE17" s="101"/>
      <c r="AF17" s="100"/>
      <c r="AG17" s="100"/>
      <c r="AH17" s="102"/>
      <c r="AJ17" s="99"/>
      <c r="AK17" s="100"/>
      <c r="AL17" s="101"/>
      <c r="AM17" s="100"/>
      <c r="AN17" s="100"/>
      <c r="AO17" s="101"/>
      <c r="AP17" s="100"/>
      <c r="AQ17" s="100"/>
      <c r="AR17" s="102"/>
    </row>
    <row r="18" spans="2:44" ht="18" customHeight="1" thickBot="1" x14ac:dyDescent="0.2">
      <c r="B18" s="103" t="s">
        <v>120</v>
      </c>
      <c r="C18" s="77"/>
      <c r="D18" s="78"/>
      <c r="E18" s="78"/>
      <c r="F18" s="79"/>
      <c r="G18" s="79"/>
      <c r="H18" s="79"/>
      <c r="I18" s="79"/>
      <c r="J18" s="79"/>
      <c r="K18" s="79"/>
      <c r="L18" s="79"/>
      <c r="M18" s="79"/>
      <c r="N18" s="79"/>
      <c r="O18" s="80"/>
      <c r="P18" s="80"/>
      <c r="Q18" s="79"/>
      <c r="R18" s="79"/>
      <c r="S18" s="226"/>
      <c r="T18" s="104">
        <f t="shared" si="0"/>
        <v>0</v>
      </c>
      <c r="U18" s="82" t="s">
        <v>43</v>
      </c>
      <c r="V18" s="83" t="s">
        <v>46</v>
      </c>
      <c r="W18" s="33" t="s">
        <v>41</v>
      </c>
      <c r="X18" s="34" t="s">
        <v>120</v>
      </c>
      <c r="Z18" s="105"/>
      <c r="AA18" s="106"/>
      <c r="AB18" s="107"/>
      <c r="AC18" s="106"/>
      <c r="AD18" s="106"/>
      <c r="AE18" s="107"/>
      <c r="AF18" s="106"/>
      <c r="AG18" s="106"/>
      <c r="AH18" s="108"/>
      <c r="AJ18" s="105"/>
      <c r="AK18" s="106"/>
      <c r="AL18" s="107"/>
      <c r="AM18" s="106"/>
      <c r="AN18" s="106"/>
      <c r="AO18" s="107"/>
      <c r="AP18" s="106"/>
      <c r="AQ18" s="106"/>
      <c r="AR18" s="108"/>
    </row>
    <row r="19" spans="2:44" ht="18" customHeight="1" thickTop="1" thickBot="1" x14ac:dyDescent="0.2">
      <c r="B19" s="103" t="s">
        <v>47</v>
      </c>
      <c r="C19" s="77">
        <v>6006</v>
      </c>
      <c r="D19" s="78"/>
      <c r="E19" s="78"/>
      <c r="F19" s="79">
        <v>14464</v>
      </c>
      <c r="G19" s="79">
        <v>8522</v>
      </c>
      <c r="H19" s="79">
        <v>1472</v>
      </c>
      <c r="I19" s="79">
        <v>4484</v>
      </c>
      <c r="J19" s="79">
        <v>2513</v>
      </c>
      <c r="K19" s="79"/>
      <c r="L19" s="79">
        <v>15971</v>
      </c>
      <c r="M19" s="79">
        <v>6147</v>
      </c>
      <c r="N19" s="79">
        <v>6644</v>
      </c>
      <c r="O19" s="80">
        <v>4444</v>
      </c>
      <c r="P19" s="80">
        <v>4623</v>
      </c>
      <c r="Q19" s="79">
        <v>1044</v>
      </c>
      <c r="R19" s="79">
        <v>2781</v>
      </c>
      <c r="S19" s="226">
        <v>1330</v>
      </c>
      <c r="T19" s="104">
        <f t="shared" si="0"/>
        <v>80445</v>
      </c>
      <c r="U19" s="82" t="s">
        <v>48</v>
      </c>
      <c r="V19" s="83" t="s">
        <v>49</v>
      </c>
      <c r="W19" s="33" t="s">
        <v>41</v>
      </c>
      <c r="X19" s="34" t="s">
        <v>47</v>
      </c>
      <c r="Z19" s="109"/>
      <c r="AA19" s="110" t="s">
        <v>51</v>
      </c>
      <c r="AB19" s="111">
        <f>SUM(AB13:AB18)</f>
        <v>0</v>
      </c>
      <c r="AC19" s="110"/>
      <c r="AD19" s="110" t="s">
        <v>51</v>
      </c>
      <c r="AE19" s="111">
        <f>SUM(AE13:AE18)</f>
        <v>0</v>
      </c>
      <c r="AF19" s="110"/>
      <c r="AG19" s="110" t="s">
        <v>51</v>
      </c>
      <c r="AH19" s="112">
        <f>SUM(AH13:AH18)</f>
        <v>160000</v>
      </c>
      <c r="AJ19" s="109"/>
      <c r="AK19" s="110" t="s">
        <v>51</v>
      </c>
      <c r="AL19" s="111">
        <f>SUM(AL13:AL18)</f>
        <v>0</v>
      </c>
      <c r="AM19" s="110"/>
      <c r="AN19" s="110" t="s">
        <v>51</v>
      </c>
      <c r="AO19" s="111">
        <f>SUM(AO13:AO18)</f>
        <v>0</v>
      </c>
      <c r="AP19" s="110"/>
      <c r="AQ19" s="110" t="s">
        <v>51</v>
      </c>
      <c r="AR19" s="112">
        <f>SUM(AR13:AR18)</f>
        <v>20000</v>
      </c>
    </row>
    <row r="20" spans="2:44" ht="18" customHeight="1" x14ac:dyDescent="0.15">
      <c r="B20" s="103" t="s">
        <v>52</v>
      </c>
      <c r="C20" s="77">
        <v>114137</v>
      </c>
      <c r="D20" s="78">
        <v>606771</v>
      </c>
      <c r="E20" s="78"/>
      <c r="F20" s="79">
        <v>381616</v>
      </c>
      <c r="G20" s="79">
        <v>110937</v>
      </c>
      <c r="H20" s="79">
        <v>25424</v>
      </c>
      <c r="I20" s="79">
        <v>41431</v>
      </c>
      <c r="J20" s="79">
        <v>23096</v>
      </c>
      <c r="K20" s="79"/>
      <c r="L20" s="79">
        <v>751487</v>
      </c>
      <c r="M20" s="79">
        <v>107089</v>
      </c>
      <c r="N20" s="79">
        <v>68219</v>
      </c>
      <c r="O20" s="80">
        <v>46694</v>
      </c>
      <c r="P20" s="80">
        <v>55881</v>
      </c>
      <c r="Q20" s="79">
        <v>12011</v>
      </c>
      <c r="R20" s="79">
        <v>51319</v>
      </c>
      <c r="S20" s="226">
        <v>15453</v>
      </c>
      <c r="T20" s="104">
        <f t="shared" si="0"/>
        <v>2411565</v>
      </c>
      <c r="U20" s="82" t="s">
        <v>43</v>
      </c>
      <c r="V20" s="83" t="s">
        <v>53</v>
      </c>
      <c r="W20" s="33" t="s">
        <v>41</v>
      </c>
      <c r="X20" s="34" t="s">
        <v>54</v>
      </c>
    </row>
    <row r="21" spans="2:44" ht="18" customHeight="1" thickBot="1" x14ac:dyDescent="0.2">
      <c r="B21" s="103" t="s">
        <v>55</v>
      </c>
      <c r="C21" s="77"/>
      <c r="D21" s="78"/>
      <c r="E21" s="78"/>
      <c r="F21" s="79"/>
      <c r="G21" s="79"/>
      <c r="H21" s="79"/>
      <c r="I21" s="79"/>
      <c r="J21" s="79"/>
      <c r="K21" s="79"/>
      <c r="L21" s="79"/>
      <c r="M21" s="79"/>
      <c r="N21" s="79"/>
      <c r="O21" s="80"/>
      <c r="P21" s="80"/>
      <c r="Q21" s="79"/>
      <c r="R21" s="79"/>
      <c r="S21" s="226"/>
      <c r="T21" s="104">
        <f t="shared" si="0"/>
        <v>0</v>
      </c>
      <c r="U21" s="82" t="s">
        <v>43</v>
      </c>
      <c r="V21" s="83" t="s">
        <v>56</v>
      </c>
      <c r="W21" s="33" t="s">
        <v>41</v>
      </c>
      <c r="X21" s="34" t="s">
        <v>55</v>
      </c>
      <c r="Z21" s="10" t="s">
        <v>57</v>
      </c>
      <c r="AJ21" s="10" t="s">
        <v>57</v>
      </c>
    </row>
    <row r="22" spans="2:44" ht="18" customHeight="1" thickBot="1" x14ac:dyDescent="0.2">
      <c r="B22" s="103" t="s">
        <v>58</v>
      </c>
      <c r="C22" s="113"/>
      <c r="D22" s="114"/>
      <c r="E22" s="114"/>
      <c r="F22" s="115"/>
      <c r="G22" s="115"/>
      <c r="H22" s="115"/>
      <c r="I22" s="115"/>
      <c r="J22" s="115"/>
      <c r="K22" s="115"/>
      <c r="L22" s="115"/>
      <c r="M22" s="115">
        <v>20000</v>
      </c>
      <c r="N22" s="115"/>
      <c r="O22" s="116"/>
      <c r="P22" s="116"/>
      <c r="Q22" s="115"/>
      <c r="R22" s="115"/>
      <c r="S22" s="228"/>
      <c r="T22" s="104">
        <f t="shared" si="0"/>
        <v>20000</v>
      </c>
      <c r="U22" s="82" t="s">
        <v>59</v>
      </c>
      <c r="V22" s="83"/>
      <c r="W22" s="33" t="s">
        <v>60</v>
      </c>
      <c r="X22" s="34"/>
      <c r="Z22" s="72" t="s">
        <v>14</v>
      </c>
      <c r="AA22" s="73" t="s">
        <v>28</v>
      </c>
      <c r="AB22" s="74" t="s">
        <v>29</v>
      </c>
      <c r="AC22" s="75" t="s">
        <v>14</v>
      </c>
      <c r="AD22" s="73" t="s">
        <v>28</v>
      </c>
      <c r="AE22" s="74" t="s">
        <v>29</v>
      </c>
      <c r="AF22" s="75" t="s">
        <v>14</v>
      </c>
      <c r="AG22" s="73" t="s">
        <v>28</v>
      </c>
      <c r="AH22" s="76" t="s">
        <v>29</v>
      </c>
      <c r="AJ22" s="72" t="s">
        <v>14</v>
      </c>
      <c r="AK22" s="73" t="s">
        <v>28</v>
      </c>
      <c r="AL22" s="74" t="s">
        <v>29</v>
      </c>
      <c r="AM22" s="75" t="s">
        <v>14</v>
      </c>
      <c r="AN22" s="73" t="s">
        <v>28</v>
      </c>
      <c r="AO22" s="74" t="s">
        <v>29</v>
      </c>
      <c r="AP22" s="75" t="s">
        <v>14</v>
      </c>
      <c r="AQ22" s="73" t="s">
        <v>28</v>
      </c>
      <c r="AR22" s="76" t="s">
        <v>29</v>
      </c>
    </row>
    <row r="23" spans="2:44" ht="18" customHeight="1" thickTop="1" x14ac:dyDescent="0.15">
      <c r="B23" s="103" t="s">
        <v>61</v>
      </c>
      <c r="C23" s="113"/>
      <c r="D23" s="114"/>
      <c r="E23" s="114"/>
      <c r="F23" s="115"/>
      <c r="G23" s="115"/>
      <c r="H23" s="115"/>
      <c r="I23" s="115"/>
      <c r="J23" s="115"/>
      <c r="K23" s="115"/>
      <c r="L23" s="115"/>
      <c r="M23" s="115"/>
      <c r="N23" s="115"/>
      <c r="O23" s="116"/>
      <c r="P23" s="116"/>
      <c r="Q23" s="115"/>
      <c r="R23" s="115"/>
      <c r="S23" s="228"/>
      <c r="T23" s="104">
        <f t="shared" si="0"/>
        <v>0</v>
      </c>
      <c r="U23" s="82" t="s">
        <v>62</v>
      </c>
      <c r="V23" s="83" t="s">
        <v>63</v>
      </c>
      <c r="W23" s="33" t="s">
        <v>50</v>
      </c>
      <c r="X23" s="34"/>
      <c r="Z23" s="84"/>
      <c r="AA23" s="85"/>
      <c r="AB23" s="86"/>
      <c r="AC23" s="87"/>
      <c r="AD23" s="85"/>
      <c r="AE23" s="86"/>
      <c r="AF23" s="85"/>
      <c r="AG23" s="85"/>
      <c r="AH23" s="88"/>
      <c r="AJ23" s="84"/>
      <c r="AK23" s="85"/>
      <c r="AL23" s="86"/>
      <c r="AM23" s="85"/>
      <c r="AN23" s="85"/>
      <c r="AO23" s="86"/>
      <c r="AP23" s="85"/>
      <c r="AQ23" s="85"/>
      <c r="AR23" s="88"/>
    </row>
    <row r="24" spans="2:44" ht="18" customHeight="1" x14ac:dyDescent="0.15">
      <c r="B24" s="103" t="s">
        <v>64</v>
      </c>
      <c r="C24" s="77"/>
      <c r="D24" s="78"/>
      <c r="E24" s="78"/>
      <c r="F24" s="79"/>
      <c r="G24" s="79"/>
      <c r="H24" s="79"/>
      <c r="I24" s="79"/>
      <c r="J24" s="79"/>
      <c r="K24" s="79"/>
      <c r="L24" s="79"/>
      <c r="M24" s="79"/>
      <c r="N24" s="79"/>
      <c r="O24" s="80"/>
      <c r="P24" s="80"/>
      <c r="Q24" s="79"/>
      <c r="R24" s="79"/>
      <c r="S24" s="226"/>
      <c r="T24" s="104">
        <f t="shared" si="0"/>
        <v>0</v>
      </c>
      <c r="U24" s="82" t="s">
        <v>43</v>
      </c>
      <c r="V24" s="83" t="s">
        <v>65</v>
      </c>
      <c r="W24" s="33" t="s">
        <v>41</v>
      </c>
      <c r="X24" s="34" t="s">
        <v>64</v>
      </c>
      <c r="Z24" s="99"/>
      <c r="AA24" s="100"/>
      <c r="AB24" s="101"/>
      <c r="AC24" s="100"/>
      <c r="AD24" s="100"/>
      <c r="AE24" s="101"/>
      <c r="AF24" s="100"/>
      <c r="AG24" s="100"/>
      <c r="AH24" s="102"/>
      <c r="AJ24" s="99"/>
      <c r="AK24" s="100"/>
      <c r="AL24" s="101"/>
      <c r="AM24" s="100"/>
      <c r="AN24" s="100"/>
      <c r="AO24" s="101"/>
      <c r="AP24" s="100"/>
      <c r="AQ24" s="100"/>
      <c r="AR24" s="102"/>
    </row>
    <row r="25" spans="2:44" ht="18" customHeight="1" x14ac:dyDescent="0.15">
      <c r="B25" s="103" t="s">
        <v>66</v>
      </c>
      <c r="C25" s="77"/>
      <c r="D25" s="78"/>
      <c r="E25" s="78"/>
      <c r="F25" s="79"/>
      <c r="G25" s="79"/>
      <c r="H25" s="79"/>
      <c r="I25" s="79"/>
      <c r="J25" s="79"/>
      <c r="K25" s="79"/>
      <c r="L25" s="79"/>
      <c r="M25" s="79"/>
      <c r="N25" s="79"/>
      <c r="O25" s="80"/>
      <c r="P25" s="80"/>
      <c r="Q25" s="79"/>
      <c r="R25" s="79"/>
      <c r="S25" s="226"/>
      <c r="T25" s="104">
        <f t="shared" si="0"/>
        <v>0</v>
      </c>
      <c r="U25" s="82" t="s">
        <v>43</v>
      </c>
      <c r="V25" s="83" t="s">
        <v>67</v>
      </c>
      <c r="W25" s="33" t="s">
        <v>41</v>
      </c>
      <c r="X25" s="34" t="s">
        <v>68</v>
      </c>
      <c r="Z25" s="99"/>
      <c r="AA25" s="100"/>
      <c r="AB25" s="101"/>
      <c r="AC25" s="100"/>
      <c r="AD25" s="100"/>
      <c r="AE25" s="101"/>
      <c r="AF25" s="100"/>
      <c r="AG25" s="100"/>
      <c r="AH25" s="102"/>
      <c r="AJ25" s="99"/>
      <c r="AK25" s="100"/>
      <c r="AL25" s="101"/>
      <c r="AM25" s="100"/>
      <c r="AN25" s="100"/>
      <c r="AO25" s="101"/>
      <c r="AP25" s="100"/>
      <c r="AQ25" s="100"/>
      <c r="AR25" s="102"/>
    </row>
    <row r="26" spans="2:44" ht="18" customHeight="1" x14ac:dyDescent="0.15">
      <c r="B26" s="103" t="s">
        <v>69</v>
      </c>
      <c r="C26" s="77"/>
      <c r="D26" s="78"/>
      <c r="E26" s="78"/>
      <c r="F26" s="79"/>
      <c r="G26" s="79"/>
      <c r="H26" s="79"/>
      <c r="I26" s="79"/>
      <c r="J26" s="79"/>
      <c r="K26" s="79"/>
      <c r="L26" s="79"/>
      <c r="M26" s="79"/>
      <c r="N26" s="79"/>
      <c r="O26" s="80"/>
      <c r="P26" s="80"/>
      <c r="Q26" s="79"/>
      <c r="R26" s="79"/>
      <c r="S26" s="226"/>
      <c r="T26" s="104">
        <f t="shared" si="0"/>
        <v>0</v>
      </c>
      <c r="U26" s="70" t="s">
        <v>31</v>
      </c>
      <c r="V26" s="71" t="s">
        <v>70</v>
      </c>
      <c r="W26" s="33" t="s">
        <v>27</v>
      </c>
      <c r="X26" s="34" t="s">
        <v>121</v>
      </c>
      <c r="Z26" s="99"/>
      <c r="AA26" s="100"/>
      <c r="AB26" s="101"/>
      <c r="AC26" s="100"/>
      <c r="AD26" s="100"/>
      <c r="AE26" s="101"/>
      <c r="AF26" s="100"/>
      <c r="AG26" s="100"/>
      <c r="AH26" s="102"/>
      <c r="AJ26" s="99"/>
      <c r="AK26" s="100"/>
      <c r="AL26" s="101"/>
      <c r="AM26" s="100"/>
      <c r="AN26" s="100"/>
      <c r="AO26" s="101"/>
      <c r="AP26" s="100"/>
      <c r="AQ26" s="100"/>
      <c r="AR26" s="102"/>
    </row>
    <row r="27" spans="2:44" ht="18" customHeight="1" x14ac:dyDescent="0.15">
      <c r="B27" s="103" t="s">
        <v>71</v>
      </c>
      <c r="C27" s="77"/>
      <c r="D27" s="78"/>
      <c r="E27" s="78"/>
      <c r="F27" s="79"/>
      <c r="G27" s="79"/>
      <c r="H27" s="79"/>
      <c r="I27" s="79"/>
      <c r="J27" s="79"/>
      <c r="K27" s="79"/>
      <c r="L27" s="79"/>
      <c r="M27" s="79"/>
      <c r="N27" s="79"/>
      <c r="O27" s="80"/>
      <c r="P27" s="80"/>
      <c r="Q27" s="79"/>
      <c r="R27" s="79"/>
      <c r="S27" s="226"/>
      <c r="T27" s="104">
        <f t="shared" si="0"/>
        <v>0</v>
      </c>
      <c r="U27" s="82" t="s">
        <v>43</v>
      </c>
      <c r="V27" s="83" t="s">
        <v>72</v>
      </c>
      <c r="W27" s="33" t="s">
        <v>41</v>
      </c>
      <c r="X27" s="34" t="s">
        <v>73</v>
      </c>
      <c r="Z27" s="99"/>
      <c r="AA27" s="100"/>
      <c r="AB27" s="101"/>
      <c r="AC27" s="100"/>
      <c r="AD27" s="100"/>
      <c r="AE27" s="101"/>
      <c r="AF27" s="100"/>
      <c r="AG27" s="100"/>
      <c r="AH27" s="102"/>
      <c r="AJ27" s="99"/>
      <c r="AK27" s="100"/>
      <c r="AL27" s="101"/>
      <c r="AM27" s="100"/>
      <c r="AN27" s="100"/>
      <c r="AO27" s="101"/>
      <c r="AP27" s="100"/>
      <c r="AQ27" s="100"/>
      <c r="AR27" s="102"/>
    </row>
    <row r="28" spans="2:44" ht="18" customHeight="1" thickBot="1" x14ac:dyDescent="0.2">
      <c r="B28" s="103" t="s">
        <v>74</v>
      </c>
      <c r="C28" s="77"/>
      <c r="D28" s="78"/>
      <c r="E28" s="78"/>
      <c r="F28" s="79"/>
      <c r="G28" s="79"/>
      <c r="H28" s="79"/>
      <c r="I28" s="79"/>
      <c r="J28" s="79"/>
      <c r="K28" s="79"/>
      <c r="L28" s="79"/>
      <c r="M28" s="79"/>
      <c r="N28" s="79"/>
      <c r="O28" s="80"/>
      <c r="P28" s="80"/>
      <c r="Q28" s="79"/>
      <c r="R28" s="79"/>
      <c r="S28" s="226"/>
      <c r="T28" s="104">
        <f t="shared" si="0"/>
        <v>0</v>
      </c>
      <c r="U28" s="82" t="s">
        <v>43</v>
      </c>
      <c r="V28" s="83" t="s">
        <v>129</v>
      </c>
      <c r="W28" s="33" t="s">
        <v>41</v>
      </c>
      <c r="X28" s="34" t="s">
        <v>77</v>
      </c>
      <c r="Z28" s="105"/>
      <c r="AA28" s="106"/>
      <c r="AB28" s="107"/>
      <c r="AC28" s="106"/>
      <c r="AD28" s="106"/>
      <c r="AE28" s="107"/>
      <c r="AF28" s="106"/>
      <c r="AG28" s="106"/>
      <c r="AH28" s="108"/>
      <c r="AJ28" s="105"/>
      <c r="AK28" s="106"/>
      <c r="AL28" s="107"/>
      <c r="AM28" s="106"/>
      <c r="AN28" s="106"/>
      <c r="AO28" s="107"/>
      <c r="AP28" s="106"/>
      <c r="AQ28" s="106"/>
      <c r="AR28" s="108"/>
    </row>
    <row r="29" spans="2:44" ht="18" customHeight="1" thickTop="1" thickBot="1" x14ac:dyDescent="0.2">
      <c r="B29" s="103" t="s">
        <v>75</v>
      </c>
      <c r="C29" s="77"/>
      <c r="D29" s="78"/>
      <c r="E29" s="78"/>
      <c r="F29" s="79"/>
      <c r="G29" s="79"/>
      <c r="H29" s="79"/>
      <c r="I29" s="79"/>
      <c r="J29" s="79"/>
      <c r="K29" s="79"/>
      <c r="L29" s="79"/>
      <c r="M29" s="79"/>
      <c r="N29" s="79"/>
      <c r="O29" s="80"/>
      <c r="P29" s="80"/>
      <c r="Q29" s="79"/>
      <c r="R29" s="79"/>
      <c r="S29" s="226"/>
      <c r="T29" s="104">
        <f t="shared" si="0"/>
        <v>0</v>
      </c>
      <c r="U29" s="82" t="s">
        <v>43</v>
      </c>
      <c r="V29" s="83" t="s">
        <v>76</v>
      </c>
      <c r="W29" s="33" t="s">
        <v>41</v>
      </c>
      <c r="X29" s="34" t="s">
        <v>77</v>
      </c>
      <c r="Z29" s="109"/>
      <c r="AA29" s="110" t="s">
        <v>51</v>
      </c>
      <c r="AB29" s="111">
        <f>SUM(AB23:AB28)</f>
        <v>0</v>
      </c>
      <c r="AC29" s="110"/>
      <c r="AD29" s="110" t="s">
        <v>51</v>
      </c>
      <c r="AE29" s="111">
        <f>SUM(AE23:AE28)</f>
        <v>0</v>
      </c>
      <c r="AF29" s="110"/>
      <c r="AG29" s="110" t="s">
        <v>51</v>
      </c>
      <c r="AH29" s="112">
        <f>SUM(AH23:AH28)</f>
        <v>0</v>
      </c>
      <c r="AJ29" s="109"/>
      <c r="AK29" s="110" t="s">
        <v>51</v>
      </c>
      <c r="AL29" s="111">
        <f>SUM(AL23:AL28)</f>
        <v>0</v>
      </c>
      <c r="AM29" s="110"/>
      <c r="AN29" s="110" t="s">
        <v>51</v>
      </c>
      <c r="AO29" s="111">
        <f>SUM(AO23:AO28)</f>
        <v>0</v>
      </c>
      <c r="AP29" s="110"/>
      <c r="AQ29" s="110" t="s">
        <v>51</v>
      </c>
      <c r="AR29" s="112">
        <f>SUM(AR23:AR28)</f>
        <v>0</v>
      </c>
    </row>
    <row r="30" spans="2:44" ht="18" customHeight="1" x14ac:dyDescent="0.15">
      <c r="B30" s="89" t="s">
        <v>78</v>
      </c>
      <c r="C30" s="90"/>
      <c r="D30" s="91"/>
      <c r="E30" s="91"/>
      <c r="F30" s="92"/>
      <c r="G30" s="92"/>
      <c r="H30" s="92"/>
      <c r="I30" s="92"/>
      <c r="J30" s="92"/>
      <c r="K30" s="92"/>
      <c r="L30" s="92"/>
      <c r="M30" s="92"/>
      <c r="N30" s="92"/>
      <c r="O30" s="93"/>
      <c r="P30" s="93"/>
      <c r="Q30" s="92"/>
      <c r="R30" s="92"/>
      <c r="S30" s="227"/>
      <c r="T30" s="94">
        <f t="shared" si="0"/>
        <v>0</v>
      </c>
      <c r="U30" s="95" t="s">
        <v>43</v>
      </c>
      <c r="V30" s="96" t="s">
        <v>79</v>
      </c>
      <c r="W30" s="97" t="s">
        <v>41</v>
      </c>
      <c r="X30" s="98" t="s">
        <v>77</v>
      </c>
      <c r="Z30" s="117"/>
      <c r="AA30" s="117"/>
      <c r="AB30" s="118"/>
      <c r="AC30" s="117"/>
      <c r="AD30" s="117"/>
      <c r="AE30" s="118"/>
      <c r="AF30" s="117"/>
      <c r="AG30" s="117"/>
      <c r="AH30" s="118"/>
    </row>
    <row r="31" spans="2:44" ht="12.95" customHeight="1" x14ac:dyDescent="0.15">
      <c r="B31" s="236" t="s">
        <v>80</v>
      </c>
      <c r="C31" s="119">
        <v>6</v>
      </c>
      <c r="D31" s="120">
        <v>6</v>
      </c>
      <c r="E31" s="120">
        <v>6</v>
      </c>
      <c r="F31" s="120">
        <v>6</v>
      </c>
      <c r="G31" s="120">
        <v>6</v>
      </c>
      <c r="H31" s="120">
        <v>6</v>
      </c>
      <c r="I31" s="120">
        <v>6</v>
      </c>
      <c r="J31" s="120">
        <v>6</v>
      </c>
      <c r="K31" s="120">
        <v>6</v>
      </c>
      <c r="L31" s="120">
        <v>6</v>
      </c>
      <c r="M31" s="120">
        <v>6</v>
      </c>
      <c r="N31" s="120">
        <v>6</v>
      </c>
      <c r="O31" s="121">
        <v>6</v>
      </c>
      <c r="P31" s="121">
        <v>6</v>
      </c>
      <c r="Q31" s="120">
        <v>6</v>
      </c>
      <c r="R31" s="120">
        <v>6</v>
      </c>
      <c r="S31" s="229">
        <v>6</v>
      </c>
      <c r="T31" s="122"/>
      <c r="U31" s="123"/>
      <c r="V31" s="124"/>
      <c r="W31" s="62"/>
      <c r="X31" s="63"/>
      <c r="Z31" s="117"/>
      <c r="AA31" s="117"/>
      <c r="AB31" s="118"/>
      <c r="AC31" s="117"/>
      <c r="AD31" s="117"/>
      <c r="AE31" s="118"/>
      <c r="AF31" s="117"/>
      <c r="AG31" s="117"/>
      <c r="AH31" s="118"/>
    </row>
    <row r="32" spans="2:44" ht="12.95" customHeight="1" x14ac:dyDescent="0.15">
      <c r="B32" s="237"/>
      <c r="C32" s="125">
        <v>1000</v>
      </c>
      <c r="D32" s="126">
        <v>1000</v>
      </c>
      <c r="E32" s="126">
        <v>1000</v>
      </c>
      <c r="F32" s="126">
        <v>1000</v>
      </c>
      <c r="G32" s="126">
        <v>1000</v>
      </c>
      <c r="H32" s="126">
        <v>1000</v>
      </c>
      <c r="I32" s="126">
        <v>1000</v>
      </c>
      <c r="J32" s="126">
        <v>1000</v>
      </c>
      <c r="K32" s="126">
        <v>1000</v>
      </c>
      <c r="L32" s="126">
        <v>1000</v>
      </c>
      <c r="M32" s="126">
        <v>1000</v>
      </c>
      <c r="N32" s="126">
        <v>1000</v>
      </c>
      <c r="O32" s="127">
        <v>1000</v>
      </c>
      <c r="P32" s="127">
        <v>1000</v>
      </c>
      <c r="Q32" s="126">
        <v>1000</v>
      </c>
      <c r="R32" s="126">
        <v>1000</v>
      </c>
      <c r="S32" s="230">
        <v>1000</v>
      </c>
      <c r="T32" s="128"/>
      <c r="U32" s="129" t="s">
        <v>81</v>
      </c>
      <c r="V32" s="130" t="s">
        <v>49</v>
      </c>
      <c r="W32" s="97" t="s">
        <v>82</v>
      </c>
      <c r="X32" s="98" t="s">
        <v>47</v>
      </c>
    </row>
    <row r="33" spans="2:34" ht="18" customHeight="1" x14ac:dyDescent="0.15">
      <c r="B33" s="131" t="s">
        <v>83</v>
      </c>
      <c r="C33" s="132">
        <f>IF(C37=0,0,ROUND((C37/C32)*C31,0))</f>
        <v>12013</v>
      </c>
      <c r="D33" s="133">
        <f t="shared" ref="D33:S33" si="1">IF(D37=0,0,ROUND((D37/D32)*D31,0))</f>
        <v>0</v>
      </c>
      <c r="E33" s="133">
        <f>IF(E37=0,0,ROUND((E37/E32)*E31,0))</f>
        <v>0</v>
      </c>
      <c r="F33" s="134">
        <f t="shared" si="1"/>
        <v>28928</v>
      </c>
      <c r="G33" s="134">
        <f t="shared" si="1"/>
        <v>17044</v>
      </c>
      <c r="H33" s="134">
        <f t="shared" si="1"/>
        <v>2944</v>
      </c>
      <c r="I33" s="134">
        <f t="shared" si="1"/>
        <v>8968</v>
      </c>
      <c r="J33" s="134">
        <f t="shared" si="1"/>
        <v>5029</v>
      </c>
      <c r="K33" s="134">
        <f t="shared" si="1"/>
        <v>0</v>
      </c>
      <c r="L33" s="134">
        <f t="shared" si="1"/>
        <v>31942</v>
      </c>
      <c r="M33" s="134">
        <f t="shared" si="1"/>
        <v>12296</v>
      </c>
      <c r="N33" s="134">
        <f t="shared" si="1"/>
        <v>13288</v>
      </c>
      <c r="O33" s="135">
        <f t="shared" si="1"/>
        <v>8888</v>
      </c>
      <c r="P33" s="135">
        <f t="shared" si="1"/>
        <v>9248</v>
      </c>
      <c r="Q33" s="134">
        <f t="shared" si="1"/>
        <v>2087</v>
      </c>
      <c r="R33" s="134">
        <f t="shared" si="1"/>
        <v>5562</v>
      </c>
      <c r="S33" s="231">
        <f t="shared" si="1"/>
        <v>2660</v>
      </c>
      <c r="T33" s="136">
        <f t="shared" ref="T33" si="2">SUM(C33:S33)</f>
        <v>160897</v>
      </c>
      <c r="U33" s="137" t="s">
        <v>84</v>
      </c>
      <c r="V33" s="138"/>
      <c r="W33" s="139" t="s">
        <v>85</v>
      </c>
      <c r="X33" s="140"/>
      <c r="Z33" s="117"/>
      <c r="AA33" s="117"/>
      <c r="AB33" s="118"/>
      <c r="AC33" s="117"/>
      <c r="AD33" s="117"/>
      <c r="AE33" s="118"/>
      <c r="AF33" s="117"/>
      <c r="AG33" s="117"/>
      <c r="AH33" s="118">
        <v>28890</v>
      </c>
    </row>
    <row r="34" spans="2:34" ht="18" customHeight="1" x14ac:dyDescent="0.15">
      <c r="B34" s="141" t="s">
        <v>86</v>
      </c>
      <c r="C34" s="142">
        <v>300</v>
      </c>
      <c r="D34" s="143">
        <v>300</v>
      </c>
      <c r="E34" s="143">
        <v>300</v>
      </c>
      <c r="F34" s="143">
        <v>300</v>
      </c>
      <c r="G34" s="143">
        <v>300</v>
      </c>
      <c r="H34" s="143">
        <v>300</v>
      </c>
      <c r="I34" s="143">
        <v>300</v>
      </c>
      <c r="J34" s="143">
        <v>300</v>
      </c>
      <c r="K34" s="143">
        <v>300</v>
      </c>
      <c r="L34" s="143">
        <v>300</v>
      </c>
      <c r="M34" s="143">
        <v>300</v>
      </c>
      <c r="N34" s="143">
        <v>300</v>
      </c>
      <c r="O34" s="144">
        <v>300</v>
      </c>
      <c r="P34" s="144">
        <v>300</v>
      </c>
      <c r="Q34" s="143">
        <v>300</v>
      </c>
      <c r="R34" s="143">
        <v>300</v>
      </c>
      <c r="S34" s="232">
        <v>300</v>
      </c>
      <c r="T34" s="145"/>
      <c r="U34" s="146"/>
      <c r="V34" s="147"/>
      <c r="W34" s="62"/>
      <c r="X34" s="63"/>
      <c r="Z34" s="117"/>
      <c r="AA34" s="117"/>
      <c r="AB34" s="118"/>
      <c r="AC34" s="117"/>
      <c r="AD34" s="117"/>
      <c r="AE34" s="118"/>
      <c r="AF34" s="117"/>
      <c r="AG34" s="117"/>
      <c r="AH34" s="118"/>
    </row>
    <row r="35" spans="2:34" ht="18" customHeight="1" x14ac:dyDescent="0.15">
      <c r="B35" s="103" t="s">
        <v>87</v>
      </c>
      <c r="C35" s="148">
        <v>0.1</v>
      </c>
      <c r="D35" s="149">
        <v>0.1</v>
      </c>
      <c r="E35" s="149">
        <v>0.1</v>
      </c>
      <c r="F35" s="149">
        <v>0.1</v>
      </c>
      <c r="G35" s="149">
        <v>0.1</v>
      </c>
      <c r="H35" s="149">
        <v>0.1</v>
      </c>
      <c r="I35" s="149">
        <v>0.1</v>
      </c>
      <c r="J35" s="149">
        <v>0.1</v>
      </c>
      <c r="K35" s="149">
        <v>0.1</v>
      </c>
      <c r="L35" s="149">
        <v>0.1</v>
      </c>
      <c r="M35" s="149">
        <v>0.1</v>
      </c>
      <c r="N35" s="149">
        <v>0.1</v>
      </c>
      <c r="O35" s="150">
        <v>0.1</v>
      </c>
      <c r="P35" s="150">
        <v>0.1</v>
      </c>
      <c r="Q35" s="149">
        <v>0.1</v>
      </c>
      <c r="R35" s="149">
        <v>0.1</v>
      </c>
      <c r="S35" s="233">
        <v>0.1</v>
      </c>
      <c r="T35" s="104"/>
      <c r="U35" s="82"/>
      <c r="V35" s="83"/>
      <c r="W35" s="33"/>
      <c r="X35" s="34"/>
      <c r="Z35" s="117"/>
      <c r="AA35" s="117"/>
      <c r="AB35" s="118"/>
      <c r="AC35" s="117"/>
      <c r="AD35" s="117"/>
      <c r="AE35" s="118"/>
      <c r="AF35" s="117"/>
      <c r="AG35" s="117"/>
      <c r="AH35" s="118"/>
    </row>
    <row r="36" spans="2:34" ht="18" customHeight="1" thickBot="1" x14ac:dyDescent="0.2">
      <c r="B36" s="151" t="s">
        <v>88</v>
      </c>
      <c r="C36" s="152">
        <f>(C11*C34)*C35</f>
        <v>120</v>
      </c>
      <c r="D36" s="153">
        <f t="shared" ref="D36:P36" si="3">(D11*D34)*D35</f>
        <v>90</v>
      </c>
      <c r="E36" s="153">
        <f t="shared" si="3"/>
        <v>0</v>
      </c>
      <c r="F36" s="154">
        <f t="shared" si="3"/>
        <v>420</v>
      </c>
      <c r="G36" s="154">
        <f t="shared" si="3"/>
        <v>210</v>
      </c>
      <c r="H36" s="154">
        <f t="shared" si="3"/>
        <v>60</v>
      </c>
      <c r="I36" s="154">
        <f t="shared" si="3"/>
        <v>180</v>
      </c>
      <c r="J36" s="154">
        <f t="shared" si="3"/>
        <v>180</v>
      </c>
      <c r="K36" s="154">
        <f t="shared" si="3"/>
        <v>0</v>
      </c>
      <c r="L36" s="154">
        <f t="shared" si="3"/>
        <v>420</v>
      </c>
      <c r="M36" s="154">
        <f t="shared" si="3"/>
        <v>210</v>
      </c>
      <c r="N36" s="154">
        <f t="shared" si="3"/>
        <v>240</v>
      </c>
      <c r="O36" s="155">
        <f t="shared" si="3"/>
        <v>180</v>
      </c>
      <c r="P36" s="155">
        <f t="shared" si="3"/>
        <v>120</v>
      </c>
      <c r="Q36" s="154">
        <f>(Q11*Q34)*Q35</f>
        <v>60</v>
      </c>
      <c r="R36" s="154">
        <f t="shared" ref="R36:S36" si="4">(R11*R34)*R35</f>
        <v>60</v>
      </c>
      <c r="S36" s="234">
        <f t="shared" si="4"/>
        <v>60</v>
      </c>
      <c r="T36" s="156"/>
      <c r="U36" s="157" t="s">
        <v>89</v>
      </c>
      <c r="V36" s="158"/>
      <c r="W36" s="159" t="s">
        <v>90</v>
      </c>
      <c r="X36" s="160"/>
      <c r="Z36" s="117"/>
      <c r="AA36" s="117"/>
      <c r="AB36" s="118"/>
      <c r="AC36" s="117"/>
      <c r="AD36" s="117"/>
      <c r="AE36" s="118"/>
      <c r="AF36" s="117"/>
      <c r="AG36" s="117"/>
      <c r="AH36" s="118"/>
    </row>
    <row r="37" spans="2:34" ht="14.25" thickBot="1" x14ac:dyDescent="0.2">
      <c r="B37" s="161" t="s">
        <v>91</v>
      </c>
      <c r="C37" s="162">
        <v>2002200</v>
      </c>
      <c r="D37" s="162">
        <v>0</v>
      </c>
      <c r="E37" s="162"/>
      <c r="F37" s="163">
        <v>4821300</v>
      </c>
      <c r="G37" s="163">
        <v>2840700</v>
      </c>
      <c r="H37" s="163">
        <v>490600</v>
      </c>
      <c r="I37" s="163">
        <v>1494700</v>
      </c>
      <c r="J37" s="163">
        <v>838100</v>
      </c>
      <c r="K37" s="163"/>
      <c r="L37" s="163">
        <v>5323700</v>
      </c>
      <c r="M37" s="163">
        <v>2049400</v>
      </c>
      <c r="N37" s="163">
        <v>2214600</v>
      </c>
      <c r="O37" s="164">
        <v>1481400</v>
      </c>
      <c r="P37" s="164">
        <v>1541300</v>
      </c>
      <c r="Q37" s="163">
        <v>347900</v>
      </c>
      <c r="R37" s="163">
        <v>927000</v>
      </c>
      <c r="S37" s="235">
        <v>443300</v>
      </c>
      <c r="T37" s="165">
        <f>SUM(C37:S37)</f>
        <v>26816200</v>
      </c>
      <c r="U37" s="166"/>
      <c r="V37" s="167"/>
      <c r="W37" s="168"/>
      <c r="X37" s="169"/>
    </row>
    <row r="38" spans="2:34" x14ac:dyDescent="0.15">
      <c r="B38" s="170" t="s">
        <v>92</v>
      </c>
    </row>
    <row r="40" spans="2:34" x14ac:dyDescent="0.15">
      <c r="B40" s="171" t="s">
        <v>93</v>
      </c>
    </row>
    <row r="41" spans="2:34" x14ac:dyDescent="0.15">
      <c r="B41" s="171" t="s">
        <v>94</v>
      </c>
    </row>
    <row r="42" spans="2:34" x14ac:dyDescent="0.15">
      <c r="B42" s="171"/>
    </row>
  </sheetData>
  <mergeCells count="1">
    <mergeCell ref="B31:B32"/>
  </mergeCells>
  <phoneticPr fontId="1"/>
  <pageMargins left="0.78700000000000003" right="0.78700000000000003" top="0.98399999999999999" bottom="0.98399999999999999" header="0.51200000000000001" footer="0.51200000000000001"/>
  <pageSetup paperSize="9" scale="37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L_KS">
                <anchor>
                  <from>
                    <xdr:col>1</xdr:col>
                    <xdr:colOff>228600</xdr:colOff>
                    <xdr:row>0</xdr:row>
                    <xdr:rowOff>9525</xdr:rowOff>
                  </from>
                  <to>
                    <xdr:col>2</xdr:col>
                    <xdr:colOff>228600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P_END">
                <anchor>
                  <from>
                    <xdr:col>4</xdr:col>
                    <xdr:colOff>628650</xdr:colOff>
                    <xdr:row>0</xdr:row>
                    <xdr:rowOff>19050</xdr:rowOff>
                  </from>
                  <to>
                    <xdr:col>6</xdr:col>
                    <xdr:colOff>171450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データ読込">
                <anchor>
                  <from>
                    <xdr:col>2</xdr:col>
                    <xdr:colOff>514350</xdr:colOff>
                    <xdr:row>0</xdr:row>
                    <xdr:rowOff>9525</xdr:rowOff>
                  </from>
                  <to>
                    <xdr:col>4</xdr:col>
                    <xdr:colOff>238125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pageSetUpPr fitToPage="1"/>
  </sheetPr>
  <dimension ref="A1:J48"/>
  <sheetViews>
    <sheetView showZeros="0" zoomScale="115" zoomScaleNormal="115" workbookViewId="0">
      <selection activeCell="B1" sqref="B1:C1"/>
    </sheetView>
  </sheetViews>
  <sheetFormatPr defaultRowHeight="12" x14ac:dyDescent="0.15"/>
  <cols>
    <col min="1" max="1" width="3.625" style="172" customWidth="1"/>
    <col min="2" max="2" width="6.625" style="176" customWidth="1"/>
    <col min="3" max="3" width="12.625" style="172" customWidth="1"/>
    <col min="4" max="4" width="6.625" style="175" customWidth="1"/>
    <col min="5" max="5" width="30.625" style="172" customWidth="1"/>
    <col min="6" max="6" width="12.625" style="172" customWidth="1"/>
    <col min="7" max="9" width="6.625" style="172" customWidth="1"/>
    <col min="10" max="10" width="6.625" style="175" customWidth="1"/>
    <col min="11" max="256" width="9" style="172"/>
    <col min="257" max="257" width="3.625" style="172" customWidth="1"/>
    <col min="258" max="258" width="6.625" style="172" customWidth="1"/>
    <col min="259" max="259" width="12.625" style="172" customWidth="1"/>
    <col min="260" max="260" width="6.625" style="172" customWidth="1"/>
    <col min="261" max="261" width="30.625" style="172" customWidth="1"/>
    <col min="262" max="262" width="12.625" style="172" customWidth="1"/>
    <col min="263" max="266" width="6.625" style="172" customWidth="1"/>
    <col min="267" max="512" width="9" style="172"/>
    <col min="513" max="513" width="3.625" style="172" customWidth="1"/>
    <col min="514" max="514" width="6.625" style="172" customWidth="1"/>
    <col min="515" max="515" width="12.625" style="172" customWidth="1"/>
    <col min="516" max="516" width="6.625" style="172" customWidth="1"/>
    <col min="517" max="517" width="30.625" style="172" customWidth="1"/>
    <col min="518" max="518" width="12.625" style="172" customWidth="1"/>
    <col min="519" max="522" width="6.625" style="172" customWidth="1"/>
    <col min="523" max="768" width="9" style="172"/>
    <col min="769" max="769" width="3.625" style="172" customWidth="1"/>
    <col min="770" max="770" width="6.625" style="172" customWidth="1"/>
    <col min="771" max="771" width="12.625" style="172" customWidth="1"/>
    <col min="772" max="772" width="6.625" style="172" customWidth="1"/>
    <col min="773" max="773" width="30.625" style="172" customWidth="1"/>
    <col min="774" max="774" width="12.625" style="172" customWidth="1"/>
    <col min="775" max="778" width="6.625" style="172" customWidth="1"/>
    <col min="779" max="1024" width="9" style="172"/>
    <col min="1025" max="1025" width="3.625" style="172" customWidth="1"/>
    <col min="1026" max="1026" width="6.625" style="172" customWidth="1"/>
    <col min="1027" max="1027" width="12.625" style="172" customWidth="1"/>
    <col min="1028" max="1028" width="6.625" style="172" customWidth="1"/>
    <col min="1029" max="1029" width="30.625" style="172" customWidth="1"/>
    <col min="1030" max="1030" width="12.625" style="172" customWidth="1"/>
    <col min="1031" max="1034" width="6.625" style="172" customWidth="1"/>
    <col min="1035" max="1280" width="9" style="172"/>
    <col min="1281" max="1281" width="3.625" style="172" customWidth="1"/>
    <col min="1282" max="1282" width="6.625" style="172" customWidth="1"/>
    <col min="1283" max="1283" width="12.625" style="172" customWidth="1"/>
    <col min="1284" max="1284" width="6.625" style="172" customWidth="1"/>
    <col min="1285" max="1285" width="30.625" style="172" customWidth="1"/>
    <col min="1286" max="1286" width="12.625" style="172" customWidth="1"/>
    <col min="1287" max="1290" width="6.625" style="172" customWidth="1"/>
    <col min="1291" max="1536" width="9" style="172"/>
    <col min="1537" max="1537" width="3.625" style="172" customWidth="1"/>
    <col min="1538" max="1538" width="6.625" style="172" customWidth="1"/>
    <col min="1539" max="1539" width="12.625" style="172" customWidth="1"/>
    <col min="1540" max="1540" width="6.625" style="172" customWidth="1"/>
    <col min="1541" max="1541" width="30.625" style="172" customWidth="1"/>
    <col min="1542" max="1542" width="12.625" style="172" customWidth="1"/>
    <col min="1543" max="1546" width="6.625" style="172" customWidth="1"/>
    <col min="1547" max="1792" width="9" style="172"/>
    <col min="1793" max="1793" width="3.625" style="172" customWidth="1"/>
    <col min="1794" max="1794" width="6.625" style="172" customWidth="1"/>
    <col min="1795" max="1795" width="12.625" style="172" customWidth="1"/>
    <col min="1796" max="1796" width="6.625" style="172" customWidth="1"/>
    <col min="1797" max="1797" width="30.625" style="172" customWidth="1"/>
    <col min="1798" max="1798" width="12.625" style="172" customWidth="1"/>
    <col min="1799" max="1802" width="6.625" style="172" customWidth="1"/>
    <col min="1803" max="2048" width="9" style="172"/>
    <col min="2049" max="2049" width="3.625" style="172" customWidth="1"/>
    <col min="2050" max="2050" width="6.625" style="172" customWidth="1"/>
    <col min="2051" max="2051" width="12.625" style="172" customWidth="1"/>
    <col min="2052" max="2052" width="6.625" style="172" customWidth="1"/>
    <col min="2053" max="2053" width="30.625" style="172" customWidth="1"/>
    <col min="2054" max="2054" width="12.625" style="172" customWidth="1"/>
    <col min="2055" max="2058" width="6.625" style="172" customWidth="1"/>
    <col min="2059" max="2304" width="9" style="172"/>
    <col min="2305" max="2305" width="3.625" style="172" customWidth="1"/>
    <col min="2306" max="2306" width="6.625" style="172" customWidth="1"/>
    <col min="2307" max="2307" width="12.625" style="172" customWidth="1"/>
    <col min="2308" max="2308" width="6.625" style="172" customWidth="1"/>
    <col min="2309" max="2309" width="30.625" style="172" customWidth="1"/>
    <col min="2310" max="2310" width="12.625" style="172" customWidth="1"/>
    <col min="2311" max="2314" width="6.625" style="172" customWidth="1"/>
    <col min="2315" max="2560" width="9" style="172"/>
    <col min="2561" max="2561" width="3.625" style="172" customWidth="1"/>
    <col min="2562" max="2562" width="6.625" style="172" customWidth="1"/>
    <col min="2563" max="2563" width="12.625" style="172" customWidth="1"/>
    <col min="2564" max="2564" width="6.625" style="172" customWidth="1"/>
    <col min="2565" max="2565" width="30.625" style="172" customWidth="1"/>
    <col min="2566" max="2566" width="12.625" style="172" customWidth="1"/>
    <col min="2567" max="2570" width="6.625" style="172" customWidth="1"/>
    <col min="2571" max="2816" width="9" style="172"/>
    <col min="2817" max="2817" width="3.625" style="172" customWidth="1"/>
    <col min="2818" max="2818" width="6.625" style="172" customWidth="1"/>
    <col min="2819" max="2819" width="12.625" style="172" customWidth="1"/>
    <col min="2820" max="2820" width="6.625" style="172" customWidth="1"/>
    <col min="2821" max="2821" width="30.625" style="172" customWidth="1"/>
    <col min="2822" max="2822" width="12.625" style="172" customWidth="1"/>
    <col min="2823" max="2826" width="6.625" style="172" customWidth="1"/>
    <col min="2827" max="3072" width="9" style="172"/>
    <col min="3073" max="3073" width="3.625" style="172" customWidth="1"/>
    <col min="3074" max="3074" width="6.625" style="172" customWidth="1"/>
    <col min="3075" max="3075" width="12.625" style="172" customWidth="1"/>
    <col min="3076" max="3076" width="6.625" style="172" customWidth="1"/>
    <col min="3077" max="3077" width="30.625" style="172" customWidth="1"/>
    <col min="3078" max="3078" width="12.625" style="172" customWidth="1"/>
    <col min="3079" max="3082" width="6.625" style="172" customWidth="1"/>
    <col min="3083" max="3328" width="9" style="172"/>
    <col min="3329" max="3329" width="3.625" style="172" customWidth="1"/>
    <col min="3330" max="3330" width="6.625" style="172" customWidth="1"/>
    <col min="3331" max="3331" width="12.625" style="172" customWidth="1"/>
    <col min="3332" max="3332" width="6.625" style="172" customWidth="1"/>
    <col min="3333" max="3333" width="30.625" style="172" customWidth="1"/>
    <col min="3334" max="3334" width="12.625" style="172" customWidth="1"/>
    <col min="3335" max="3338" width="6.625" style="172" customWidth="1"/>
    <col min="3339" max="3584" width="9" style="172"/>
    <col min="3585" max="3585" width="3.625" style="172" customWidth="1"/>
    <col min="3586" max="3586" width="6.625" style="172" customWidth="1"/>
    <col min="3587" max="3587" width="12.625" style="172" customWidth="1"/>
    <col min="3588" max="3588" width="6.625" style="172" customWidth="1"/>
    <col min="3589" max="3589" width="30.625" style="172" customWidth="1"/>
    <col min="3590" max="3590" width="12.625" style="172" customWidth="1"/>
    <col min="3591" max="3594" width="6.625" style="172" customWidth="1"/>
    <col min="3595" max="3840" width="9" style="172"/>
    <col min="3841" max="3841" width="3.625" style="172" customWidth="1"/>
    <col min="3842" max="3842" width="6.625" style="172" customWidth="1"/>
    <col min="3843" max="3843" width="12.625" style="172" customWidth="1"/>
    <col min="3844" max="3844" width="6.625" style="172" customWidth="1"/>
    <col min="3845" max="3845" width="30.625" style="172" customWidth="1"/>
    <col min="3846" max="3846" width="12.625" style="172" customWidth="1"/>
    <col min="3847" max="3850" width="6.625" style="172" customWidth="1"/>
    <col min="3851" max="4096" width="9" style="172"/>
    <col min="4097" max="4097" width="3.625" style="172" customWidth="1"/>
    <col min="4098" max="4098" width="6.625" style="172" customWidth="1"/>
    <col min="4099" max="4099" width="12.625" style="172" customWidth="1"/>
    <col min="4100" max="4100" width="6.625" style="172" customWidth="1"/>
    <col min="4101" max="4101" width="30.625" style="172" customWidth="1"/>
    <col min="4102" max="4102" width="12.625" style="172" customWidth="1"/>
    <col min="4103" max="4106" width="6.625" style="172" customWidth="1"/>
    <col min="4107" max="4352" width="9" style="172"/>
    <col min="4353" max="4353" width="3.625" style="172" customWidth="1"/>
    <col min="4354" max="4354" width="6.625" style="172" customWidth="1"/>
    <col min="4355" max="4355" width="12.625" style="172" customWidth="1"/>
    <col min="4356" max="4356" width="6.625" style="172" customWidth="1"/>
    <col min="4357" max="4357" width="30.625" style="172" customWidth="1"/>
    <col min="4358" max="4358" width="12.625" style="172" customWidth="1"/>
    <col min="4359" max="4362" width="6.625" style="172" customWidth="1"/>
    <col min="4363" max="4608" width="9" style="172"/>
    <col min="4609" max="4609" width="3.625" style="172" customWidth="1"/>
    <col min="4610" max="4610" width="6.625" style="172" customWidth="1"/>
    <col min="4611" max="4611" width="12.625" style="172" customWidth="1"/>
    <col min="4612" max="4612" width="6.625" style="172" customWidth="1"/>
    <col min="4613" max="4613" width="30.625" style="172" customWidth="1"/>
    <col min="4614" max="4614" width="12.625" style="172" customWidth="1"/>
    <col min="4615" max="4618" width="6.625" style="172" customWidth="1"/>
    <col min="4619" max="4864" width="9" style="172"/>
    <col min="4865" max="4865" width="3.625" style="172" customWidth="1"/>
    <col min="4866" max="4866" width="6.625" style="172" customWidth="1"/>
    <col min="4867" max="4867" width="12.625" style="172" customWidth="1"/>
    <col min="4868" max="4868" width="6.625" style="172" customWidth="1"/>
    <col min="4869" max="4869" width="30.625" style="172" customWidth="1"/>
    <col min="4870" max="4870" width="12.625" style="172" customWidth="1"/>
    <col min="4871" max="4874" width="6.625" style="172" customWidth="1"/>
    <col min="4875" max="5120" width="9" style="172"/>
    <col min="5121" max="5121" width="3.625" style="172" customWidth="1"/>
    <col min="5122" max="5122" width="6.625" style="172" customWidth="1"/>
    <col min="5123" max="5123" width="12.625" style="172" customWidth="1"/>
    <col min="5124" max="5124" width="6.625" style="172" customWidth="1"/>
    <col min="5125" max="5125" width="30.625" style="172" customWidth="1"/>
    <col min="5126" max="5126" width="12.625" style="172" customWidth="1"/>
    <col min="5127" max="5130" width="6.625" style="172" customWidth="1"/>
    <col min="5131" max="5376" width="9" style="172"/>
    <col min="5377" max="5377" width="3.625" style="172" customWidth="1"/>
    <col min="5378" max="5378" width="6.625" style="172" customWidth="1"/>
    <col min="5379" max="5379" width="12.625" style="172" customWidth="1"/>
    <col min="5380" max="5380" width="6.625" style="172" customWidth="1"/>
    <col min="5381" max="5381" width="30.625" style="172" customWidth="1"/>
    <col min="5382" max="5382" width="12.625" style="172" customWidth="1"/>
    <col min="5383" max="5386" width="6.625" style="172" customWidth="1"/>
    <col min="5387" max="5632" width="9" style="172"/>
    <col min="5633" max="5633" width="3.625" style="172" customWidth="1"/>
    <col min="5634" max="5634" width="6.625" style="172" customWidth="1"/>
    <col min="5635" max="5635" width="12.625" style="172" customWidth="1"/>
    <col min="5636" max="5636" width="6.625" style="172" customWidth="1"/>
    <col min="5637" max="5637" width="30.625" style="172" customWidth="1"/>
    <col min="5638" max="5638" width="12.625" style="172" customWidth="1"/>
    <col min="5639" max="5642" width="6.625" style="172" customWidth="1"/>
    <col min="5643" max="5888" width="9" style="172"/>
    <col min="5889" max="5889" width="3.625" style="172" customWidth="1"/>
    <col min="5890" max="5890" width="6.625" style="172" customWidth="1"/>
    <col min="5891" max="5891" width="12.625" style="172" customWidth="1"/>
    <col min="5892" max="5892" width="6.625" style="172" customWidth="1"/>
    <col min="5893" max="5893" width="30.625" style="172" customWidth="1"/>
    <col min="5894" max="5894" width="12.625" style="172" customWidth="1"/>
    <col min="5895" max="5898" width="6.625" style="172" customWidth="1"/>
    <col min="5899" max="6144" width="9" style="172"/>
    <col min="6145" max="6145" width="3.625" style="172" customWidth="1"/>
    <col min="6146" max="6146" width="6.625" style="172" customWidth="1"/>
    <col min="6147" max="6147" width="12.625" style="172" customWidth="1"/>
    <col min="6148" max="6148" width="6.625" style="172" customWidth="1"/>
    <col min="6149" max="6149" width="30.625" style="172" customWidth="1"/>
    <col min="6150" max="6150" width="12.625" style="172" customWidth="1"/>
    <col min="6151" max="6154" width="6.625" style="172" customWidth="1"/>
    <col min="6155" max="6400" width="9" style="172"/>
    <col min="6401" max="6401" width="3.625" style="172" customWidth="1"/>
    <col min="6402" max="6402" width="6.625" style="172" customWidth="1"/>
    <col min="6403" max="6403" width="12.625" style="172" customWidth="1"/>
    <col min="6404" max="6404" width="6.625" style="172" customWidth="1"/>
    <col min="6405" max="6405" width="30.625" style="172" customWidth="1"/>
    <col min="6406" max="6406" width="12.625" style="172" customWidth="1"/>
    <col min="6407" max="6410" width="6.625" style="172" customWidth="1"/>
    <col min="6411" max="6656" width="9" style="172"/>
    <col min="6657" max="6657" width="3.625" style="172" customWidth="1"/>
    <col min="6658" max="6658" width="6.625" style="172" customWidth="1"/>
    <col min="6659" max="6659" width="12.625" style="172" customWidth="1"/>
    <col min="6660" max="6660" width="6.625" style="172" customWidth="1"/>
    <col min="6661" max="6661" width="30.625" style="172" customWidth="1"/>
    <col min="6662" max="6662" width="12.625" style="172" customWidth="1"/>
    <col min="6663" max="6666" width="6.625" style="172" customWidth="1"/>
    <col min="6667" max="6912" width="9" style="172"/>
    <col min="6913" max="6913" width="3.625" style="172" customWidth="1"/>
    <col min="6914" max="6914" width="6.625" style="172" customWidth="1"/>
    <col min="6915" max="6915" width="12.625" style="172" customWidth="1"/>
    <col min="6916" max="6916" width="6.625" style="172" customWidth="1"/>
    <col min="6917" max="6917" width="30.625" style="172" customWidth="1"/>
    <col min="6918" max="6918" width="12.625" style="172" customWidth="1"/>
    <col min="6919" max="6922" width="6.625" style="172" customWidth="1"/>
    <col min="6923" max="7168" width="9" style="172"/>
    <col min="7169" max="7169" width="3.625" style="172" customWidth="1"/>
    <col min="7170" max="7170" width="6.625" style="172" customWidth="1"/>
    <col min="7171" max="7171" width="12.625" style="172" customWidth="1"/>
    <col min="7172" max="7172" width="6.625" style="172" customWidth="1"/>
    <col min="7173" max="7173" width="30.625" style="172" customWidth="1"/>
    <col min="7174" max="7174" width="12.625" style="172" customWidth="1"/>
    <col min="7175" max="7178" width="6.625" style="172" customWidth="1"/>
    <col min="7179" max="7424" width="9" style="172"/>
    <col min="7425" max="7425" width="3.625" style="172" customWidth="1"/>
    <col min="7426" max="7426" width="6.625" style="172" customWidth="1"/>
    <col min="7427" max="7427" width="12.625" style="172" customWidth="1"/>
    <col min="7428" max="7428" width="6.625" style="172" customWidth="1"/>
    <col min="7429" max="7429" width="30.625" style="172" customWidth="1"/>
    <col min="7430" max="7430" width="12.625" style="172" customWidth="1"/>
    <col min="7431" max="7434" width="6.625" style="172" customWidth="1"/>
    <col min="7435" max="7680" width="9" style="172"/>
    <col min="7681" max="7681" width="3.625" style="172" customWidth="1"/>
    <col min="7682" max="7682" width="6.625" style="172" customWidth="1"/>
    <col min="7683" max="7683" width="12.625" style="172" customWidth="1"/>
    <col min="7684" max="7684" width="6.625" style="172" customWidth="1"/>
    <col min="7685" max="7685" width="30.625" style="172" customWidth="1"/>
    <col min="7686" max="7686" width="12.625" style="172" customWidth="1"/>
    <col min="7687" max="7690" width="6.625" style="172" customWidth="1"/>
    <col min="7691" max="7936" width="9" style="172"/>
    <col min="7937" max="7937" width="3.625" style="172" customWidth="1"/>
    <col min="7938" max="7938" width="6.625" style="172" customWidth="1"/>
    <col min="7939" max="7939" width="12.625" style="172" customWidth="1"/>
    <col min="7940" max="7940" width="6.625" style="172" customWidth="1"/>
    <col min="7941" max="7941" width="30.625" style="172" customWidth="1"/>
    <col min="7942" max="7942" width="12.625" style="172" customWidth="1"/>
    <col min="7943" max="7946" width="6.625" style="172" customWidth="1"/>
    <col min="7947" max="8192" width="9" style="172"/>
    <col min="8193" max="8193" width="3.625" style="172" customWidth="1"/>
    <col min="8194" max="8194" width="6.625" style="172" customWidth="1"/>
    <col min="8195" max="8195" width="12.625" style="172" customWidth="1"/>
    <col min="8196" max="8196" width="6.625" style="172" customWidth="1"/>
    <col min="8197" max="8197" width="30.625" style="172" customWidth="1"/>
    <col min="8198" max="8198" width="12.625" style="172" customWidth="1"/>
    <col min="8199" max="8202" width="6.625" style="172" customWidth="1"/>
    <col min="8203" max="8448" width="9" style="172"/>
    <col min="8449" max="8449" width="3.625" style="172" customWidth="1"/>
    <col min="8450" max="8450" width="6.625" style="172" customWidth="1"/>
    <col min="8451" max="8451" width="12.625" style="172" customWidth="1"/>
    <col min="8452" max="8452" width="6.625" style="172" customWidth="1"/>
    <col min="8453" max="8453" width="30.625" style="172" customWidth="1"/>
    <col min="8454" max="8454" width="12.625" style="172" customWidth="1"/>
    <col min="8455" max="8458" width="6.625" style="172" customWidth="1"/>
    <col min="8459" max="8704" width="9" style="172"/>
    <col min="8705" max="8705" width="3.625" style="172" customWidth="1"/>
    <col min="8706" max="8706" width="6.625" style="172" customWidth="1"/>
    <col min="8707" max="8707" width="12.625" style="172" customWidth="1"/>
    <col min="8708" max="8708" width="6.625" style="172" customWidth="1"/>
    <col min="8709" max="8709" width="30.625" style="172" customWidth="1"/>
    <col min="8710" max="8710" width="12.625" style="172" customWidth="1"/>
    <col min="8711" max="8714" width="6.625" style="172" customWidth="1"/>
    <col min="8715" max="8960" width="9" style="172"/>
    <col min="8961" max="8961" width="3.625" style="172" customWidth="1"/>
    <col min="8962" max="8962" width="6.625" style="172" customWidth="1"/>
    <col min="8963" max="8963" width="12.625" style="172" customWidth="1"/>
    <col min="8964" max="8964" width="6.625" style="172" customWidth="1"/>
    <col min="8965" max="8965" width="30.625" style="172" customWidth="1"/>
    <col min="8966" max="8966" width="12.625" style="172" customWidth="1"/>
    <col min="8967" max="8970" width="6.625" style="172" customWidth="1"/>
    <col min="8971" max="9216" width="9" style="172"/>
    <col min="9217" max="9217" width="3.625" style="172" customWidth="1"/>
    <col min="9218" max="9218" width="6.625" style="172" customWidth="1"/>
    <col min="9219" max="9219" width="12.625" style="172" customWidth="1"/>
    <col min="9220" max="9220" width="6.625" style="172" customWidth="1"/>
    <col min="9221" max="9221" width="30.625" style="172" customWidth="1"/>
    <col min="9222" max="9222" width="12.625" style="172" customWidth="1"/>
    <col min="9223" max="9226" width="6.625" style="172" customWidth="1"/>
    <col min="9227" max="9472" width="9" style="172"/>
    <col min="9473" max="9473" width="3.625" style="172" customWidth="1"/>
    <col min="9474" max="9474" width="6.625" style="172" customWidth="1"/>
    <col min="9475" max="9475" width="12.625" style="172" customWidth="1"/>
    <col min="9476" max="9476" width="6.625" style="172" customWidth="1"/>
    <col min="9477" max="9477" width="30.625" style="172" customWidth="1"/>
    <col min="9478" max="9478" width="12.625" style="172" customWidth="1"/>
    <col min="9479" max="9482" width="6.625" style="172" customWidth="1"/>
    <col min="9483" max="9728" width="9" style="172"/>
    <col min="9729" max="9729" width="3.625" style="172" customWidth="1"/>
    <col min="9730" max="9730" width="6.625" style="172" customWidth="1"/>
    <col min="9731" max="9731" width="12.625" style="172" customWidth="1"/>
    <col min="9732" max="9732" width="6.625" style="172" customWidth="1"/>
    <col min="9733" max="9733" width="30.625" style="172" customWidth="1"/>
    <col min="9734" max="9734" width="12.625" style="172" customWidth="1"/>
    <col min="9735" max="9738" width="6.625" style="172" customWidth="1"/>
    <col min="9739" max="9984" width="9" style="172"/>
    <col min="9985" max="9985" width="3.625" style="172" customWidth="1"/>
    <col min="9986" max="9986" width="6.625" style="172" customWidth="1"/>
    <col min="9987" max="9987" width="12.625" style="172" customWidth="1"/>
    <col min="9988" max="9988" width="6.625" style="172" customWidth="1"/>
    <col min="9989" max="9989" width="30.625" style="172" customWidth="1"/>
    <col min="9990" max="9990" width="12.625" style="172" customWidth="1"/>
    <col min="9991" max="9994" width="6.625" style="172" customWidth="1"/>
    <col min="9995" max="10240" width="9" style="172"/>
    <col min="10241" max="10241" width="3.625" style="172" customWidth="1"/>
    <col min="10242" max="10242" width="6.625" style="172" customWidth="1"/>
    <col min="10243" max="10243" width="12.625" style="172" customWidth="1"/>
    <col min="10244" max="10244" width="6.625" style="172" customWidth="1"/>
    <col min="10245" max="10245" width="30.625" style="172" customWidth="1"/>
    <col min="10246" max="10246" width="12.625" style="172" customWidth="1"/>
    <col min="10247" max="10250" width="6.625" style="172" customWidth="1"/>
    <col min="10251" max="10496" width="9" style="172"/>
    <col min="10497" max="10497" width="3.625" style="172" customWidth="1"/>
    <col min="10498" max="10498" width="6.625" style="172" customWidth="1"/>
    <col min="10499" max="10499" width="12.625" style="172" customWidth="1"/>
    <col min="10500" max="10500" width="6.625" style="172" customWidth="1"/>
    <col min="10501" max="10501" width="30.625" style="172" customWidth="1"/>
    <col min="10502" max="10502" width="12.625" style="172" customWidth="1"/>
    <col min="10503" max="10506" width="6.625" style="172" customWidth="1"/>
    <col min="10507" max="10752" width="9" style="172"/>
    <col min="10753" max="10753" width="3.625" style="172" customWidth="1"/>
    <col min="10754" max="10754" width="6.625" style="172" customWidth="1"/>
    <col min="10755" max="10755" width="12.625" style="172" customWidth="1"/>
    <col min="10756" max="10756" width="6.625" style="172" customWidth="1"/>
    <col min="10757" max="10757" width="30.625" style="172" customWidth="1"/>
    <col min="10758" max="10758" width="12.625" style="172" customWidth="1"/>
    <col min="10759" max="10762" width="6.625" style="172" customWidth="1"/>
    <col min="10763" max="11008" width="9" style="172"/>
    <col min="11009" max="11009" width="3.625" style="172" customWidth="1"/>
    <col min="11010" max="11010" width="6.625" style="172" customWidth="1"/>
    <col min="11011" max="11011" width="12.625" style="172" customWidth="1"/>
    <col min="11012" max="11012" width="6.625" style="172" customWidth="1"/>
    <col min="11013" max="11013" width="30.625" style="172" customWidth="1"/>
    <col min="11014" max="11014" width="12.625" style="172" customWidth="1"/>
    <col min="11015" max="11018" width="6.625" style="172" customWidth="1"/>
    <col min="11019" max="11264" width="9" style="172"/>
    <col min="11265" max="11265" width="3.625" style="172" customWidth="1"/>
    <col min="11266" max="11266" width="6.625" style="172" customWidth="1"/>
    <col min="11267" max="11267" width="12.625" style="172" customWidth="1"/>
    <col min="11268" max="11268" width="6.625" style="172" customWidth="1"/>
    <col min="11269" max="11269" width="30.625" style="172" customWidth="1"/>
    <col min="11270" max="11270" width="12.625" style="172" customWidth="1"/>
    <col min="11271" max="11274" width="6.625" style="172" customWidth="1"/>
    <col min="11275" max="11520" width="9" style="172"/>
    <col min="11521" max="11521" width="3.625" style="172" customWidth="1"/>
    <col min="11522" max="11522" width="6.625" style="172" customWidth="1"/>
    <col min="11523" max="11523" width="12.625" style="172" customWidth="1"/>
    <col min="11524" max="11524" width="6.625" style="172" customWidth="1"/>
    <col min="11525" max="11525" width="30.625" style="172" customWidth="1"/>
    <col min="11526" max="11526" width="12.625" style="172" customWidth="1"/>
    <col min="11527" max="11530" width="6.625" style="172" customWidth="1"/>
    <col min="11531" max="11776" width="9" style="172"/>
    <col min="11777" max="11777" width="3.625" style="172" customWidth="1"/>
    <col min="11778" max="11778" width="6.625" style="172" customWidth="1"/>
    <col min="11779" max="11779" width="12.625" style="172" customWidth="1"/>
    <col min="11780" max="11780" width="6.625" style="172" customWidth="1"/>
    <col min="11781" max="11781" width="30.625" style="172" customWidth="1"/>
    <col min="11782" max="11782" width="12.625" style="172" customWidth="1"/>
    <col min="11783" max="11786" width="6.625" style="172" customWidth="1"/>
    <col min="11787" max="12032" width="9" style="172"/>
    <col min="12033" max="12033" width="3.625" style="172" customWidth="1"/>
    <col min="12034" max="12034" width="6.625" style="172" customWidth="1"/>
    <col min="12035" max="12035" width="12.625" style="172" customWidth="1"/>
    <col min="12036" max="12036" width="6.625" style="172" customWidth="1"/>
    <col min="12037" max="12037" width="30.625" style="172" customWidth="1"/>
    <col min="12038" max="12038" width="12.625" style="172" customWidth="1"/>
    <col min="12039" max="12042" width="6.625" style="172" customWidth="1"/>
    <col min="12043" max="12288" width="9" style="172"/>
    <col min="12289" max="12289" width="3.625" style="172" customWidth="1"/>
    <col min="12290" max="12290" width="6.625" style="172" customWidth="1"/>
    <col min="12291" max="12291" width="12.625" style="172" customWidth="1"/>
    <col min="12292" max="12292" width="6.625" style="172" customWidth="1"/>
    <col min="12293" max="12293" width="30.625" style="172" customWidth="1"/>
    <col min="12294" max="12294" width="12.625" style="172" customWidth="1"/>
    <col min="12295" max="12298" width="6.625" style="172" customWidth="1"/>
    <col min="12299" max="12544" width="9" style="172"/>
    <col min="12545" max="12545" width="3.625" style="172" customWidth="1"/>
    <col min="12546" max="12546" width="6.625" style="172" customWidth="1"/>
    <col min="12547" max="12547" width="12.625" style="172" customWidth="1"/>
    <col min="12548" max="12548" width="6.625" style="172" customWidth="1"/>
    <col min="12549" max="12549" width="30.625" style="172" customWidth="1"/>
    <col min="12550" max="12550" width="12.625" style="172" customWidth="1"/>
    <col min="12551" max="12554" width="6.625" style="172" customWidth="1"/>
    <col min="12555" max="12800" width="9" style="172"/>
    <col min="12801" max="12801" width="3.625" style="172" customWidth="1"/>
    <col min="12802" max="12802" width="6.625" style="172" customWidth="1"/>
    <col min="12803" max="12803" width="12.625" style="172" customWidth="1"/>
    <col min="12804" max="12804" width="6.625" style="172" customWidth="1"/>
    <col min="12805" max="12805" width="30.625" style="172" customWidth="1"/>
    <col min="12806" max="12806" width="12.625" style="172" customWidth="1"/>
    <col min="12807" max="12810" width="6.625" style="172" customWidth="1"/>
    <col min="12811" max="13056" width="9" style="172"/>
    <col min="13057" max="13057" width="3.625" style="172" customWidth="1"/>
    <col min="13058" max="13058" width="6.625" style="172" customWidth="1"/>
    <col min="13059" max="13059" width="12.625" style="172" customWidth="1"/>
    <col min="13060" max="13060" width="6.625" style="172" customWidth="1"/>
    <col min="13061" max="13061" width="30.625" style="172" customWidth="1"/>
    <col min="13062" max="13062" width="12.625" style="172" customWidth="1"/>
    <col min="13063" max="13066" width="6.625" style="172" customWidth="1"/>
    <col min="13067" max="13312" width="9" style="172"/>
    <col min="13313" max="13313" width="3.625" style="172" customWidth="1"/>
    <col min="13314" max="13314" width="6.625" style="172" customWidth="1"/>
    <col min="13315" max="13315" width="12.625" style="172" customWidth="1"/>
    <col min="13316" max="13316" width="6.625" style="172" customWidth="1"/>
    <col min="13317" max="13317" width="30.625" style="172" customWidth="1"/>
    <col min="13318" max="13318" width="12.625" style="172" customWidth="1"/>
    <col min="13319" max="13322" width="6.625" style="172" customWidth="1"/>
    <col min="13323" max="13568" width="9" style="172"/>
    <col min="13569" max="13569" width="3.625" style="172" customWidth="1"/>
    <col min="13570" max="13570" width="6.625" style="172" customWidth="1"/>
    <col min="13571" max="13571" width="12.625" style="172" customWidth="1"/>
    <col min="13572" max="13572" width="6.625" style="172" customWidth="1"/>
    <col min="13573" max="13573" width="30.625" style="172" customWidth="1"/>
    <col min="13574" max="13574" width="12.625" style="172" customWidth="1"/>
    <col min="13575" max="13578" width="6.625" style="172" customWidth="1"/>
    <col min="13579" max="13824" width="9" style="172"/>
    <col min="13825" max="13825" width="3.625" style="172" customWidth="1"/>
    <col min="13826" max="13826" width="6.625" style="172" customWidth="1"/>
    <col min="13827" max="13827" width="12.625" style="172" customWidth="1"/>
    <col min="13828" max="13828" width="6.625" style="172" customWidth="1"/>
    <col min="13829" max="13829" width="30.625" style="172" customWidth="1"/>
    <col min="13830" max="13830" width="12.625" style="172" customWidth="1"/>
    <col min="13831" max="13834" width="6.625" style="172" customWidth="1"/>
    <col min="13835" max="14080" width="9" style="172"/>
    <col min="14081" max="14081" width="3.625" style="172" customWidth="1"/>
    <col min="14082" max="14082" width="6.625" style="172" customWidth="1"/>
    <col min="14083" max="14083" width="12.625" style="172" customWidth="1"/>
    <col min="14084" max="14084" width="6.625" style="172" customWidth="1"/>
    <col min="14085" max="14085" width="30.625" style="172" customWidth="1"/>
    <col min="14086" max="14086" width="12.625" style="172" customWidth="1"/>
    <col min="14087" max="14090" width="6.625" style="172" customWidth="1"/>
    <col min="14091" max="14336" width="9" style="172"/>
    <col min="14337" max="14337" width="3.625" style="172" customWidth="1"/>
    <col min="14338" max="14338" width="6.625" style="172" customWidth="1"/>
    <col min="14339" max="14339" width="12.625" style="172" customWidth="1"/>
    <col min="14340" max="14340" width="6.625" style="172" customWidth="1"/>
    <col min="14341" max="14341" width="30.625" style="172" customWidth="1"/>
    <col min="14342" max="14342" width="12.625" style="172" customWidth="1"/>
    <col min="14343" max="14346" width="6.625" style="172" customWidth="1"/>
    <col min="14347" max="14592" width="9" style="172"/>
    <col min="14593" max="14593" width="3.625" style="172" customWidth="1"/>
    <col min="14594" max="14594" width="6.625" style="172" customWidth="1"/>
    <col min="14595" max="14595" width="12.625" style="172" customWidth="1"/>
    <col min="14596" max="14596" width="6.625" style="172" customWidth="1"/>
    <col min="14597" max="14597" width="30.625" style="172" customWidth="1"/>
    <col min="14598" max="14598" width="12.625" style="172" customWidth="1"/>
    <col min="14599" max="14602" width="6.625" style="172" customWidth="1"/>
    <col min="14603" max="14848" width="9" style="172"/>
    <col min="14849" max="14849" width="3.625" style="172" customWidth="1"/>
    <col min="14850" max="14850" width="6.625" style="172" customWidth="1"/>
    <col min="14851" max="14851" width="12.625" style="172" customWidth="1"/>
    <col min="14852" max="14852" width="6.625" style="172" customWidth="1"/>
    <col min="14853" max="14853" width="30.625" style="172" customWidth="1"/>
    <col min="14854" max="14854" width="12.625" style="172" customWidth="1"/>
    <col min="14855" max="14858" width="6.625" style="172" customWidth="1"/>
    <col min="14859" max="15104" width="9" style="172"/>
    <col min="15105" max="15105" width="3.625" style="172" customWidth="1"/>
    <col min="15106" max="15106" width="6.625" style="172" customWidth="1"/>
    <col min="15107" max="15107" width="12.625" style="172" customWidth="1"/>
    <col min="15108" max="15108" width="6.625" style="172" customWidth="1"/>
    <col min="15109" max="15109" width="30.625" style="172" customWidth="1"/>
    <col min="15110" max="15110" width="12.625" style="172" customWidth="1"/>
    <col min="15111" max="15114" width="6.625" style="172" customWidth="1"/>
    <col min="15115" max="15360" width="9" style="172"/>
    <col min="15361" max="15361" width="3.625" style="172" customWidth="1"/>
    <col min="15362" max="15362" width="6.625" style="172" customWidth="1"/>
    <col min="15363" max="15363" width="12.625" style="172" customWidth="1"/>
    <col min="15364" max="15364" width="6.625" style="172" customWidth="1"/>
    <col min="15365" max="15365" width="30.625" style="172" customWidth="1"/>
    <col min="15366" max="15366" width="12.625" style="172" customWidth="1"/>
    <col min="15367" max="15370" width="6.625" style="172" customWidth="1"/>
    <col min="15371" max="15616" width="9" style="172"/>
    <col min="15617" max="15617" width="3.625" style="172" customWidth="1"/>
    <col min="15618" max="15618" width="6.625" style="172" customWidth="1"/>
    <col min="15619" max="15619" width="12.625" style="172" customWidth="1"/>
    <col min="15620" max="15620" width="6.625" style="172" customWidth="1"/>
    <col min="15621" max="15621" width="30.625" style="172" customWidth="1"/>
    <col min="15622" max="15622" width="12.625" style="172" customWidth="1"/>
    <col min="15623" max="15626" width="6.625" style="172" customWidth="1"/>
    <col min="15627" max="15872" width="9" style="172"/>
    <col min="15873" max="15873" width="3.625" style="172" customWidth="1"/>
    <col min="15874" max="15874" width="6.625" style="172" customWidth="1"/>
    <col min="15875" max="15875" width="12.625" style="172" customWidth="1"/>
    <col min="15876" max="15876" width="6.625" style="172" customWidth="1"/>
    <col min="15877" max="15877" width="30.625" style="172" customWidth="1"/>
    <col min="15878" max="15878" width="12.625" style="172" customWidth="1"/>
    <col min="15879" max="15882" width="6.625" style="172" customWidth="1"/>
    <col min="15883" max="16128" width="9" style="172"/>
    <col min="16129" max="16129" width="3.625" style="172" customWidth="1"/>
    <col min="16130" max="16130" width="6.625" style="172" customWidth="1"/>
    <col min="16131" max="16131" width="12.625" style="172" customWidth="1"/>
    <col min="16132" max="16132" width="6.625" style="172" customWidth="1"/>
    <col min="16133" max="16133" width="30.625" style="172" customWidth="1"/>
    <col min="16134" max="16134" width="12.625" style="172" customWidth="1"/>
    <col min="16135" max="16138" width="6.625" style="172" customWidth="1"/>
    <col min="16139" max="16384" width="9" style="172"/>
  </cols>
  <sheetData>
    <row r="1" spans="1:10" ht="27.75" customHeight="1" x14ac:dyDescent="0.15">
      <c r="B1" s="242" t="s">
        <v>122</v>
      </c>
      <c r="C1" s="243"/>
      <c r="D1" s="173"/>
      <c r="F1" s="174"/>
    </row>
    <row r="2" spans="1:10" ht="15" customHeight="1" x14ac:dyDescent="0.15">
      <c r="F2" s="177" t="s">
        <v>95</v>
      </c>
      <c r="G2" s="244" t="s">
        <v>96</v>
      </c>
      <c r="H2" s="244"/>
      <c r="I2" s="244" t="s">
        <v>97</v>
      </c>
      <c r="J2" s="244"/>
    </row>
    <row r="3" spans="1:10" ht="50.1" customHeight="1" thickBot="1" x14ac:dyDescent="0.25">
      <c r="C3" s="178"/>
      <c r="E3" s="179">
        <f>Menu!F15</f>
        <v>44736</v>
      </c>
      <c r="F3" s="180"/>
      <c r="G3" s="245"/>
      <c r="H3" s="245"/>
      <c r="I3" s="245" t="s">
        <v>98</v>
      </c>
      <c r="J3" s="245"/>
    </row>
    <row r="4" spans="1:10" ht="15" customHeight="1" x14ac:dyDescent="0.15">
      <c r="A4" s="181" t="s">
        <v>99</v>
      </c>
      <c r="B4" s="244" t="s">
        <v>100</v>
      </c>
      <c r="C4" s="244"/>
      <c r="D4" s="182" t="s">
        <v>101</v>
      </c>
      <c r="E4" s="183" t="s">
        <v>102</v>
      </c>
      <c r="F4" s="184" t="s">
        <v>103</v>
      </c>
      <c r="G4" s="246" t="s">
        <v>104</v>
      </c>
      <c r="H4" s="244"/>
      <c r="I4" s="244"/>
      <c r="J4" s="185" t="s">
        <v>101</v>
      </c>
    </row>
    <row r="5" spans="1:10" ht="15" customHeight="1" x14ac:dyDescent="0.15">
      <c r="A5" s="186">
        <v>1</v>
      </c>
      <c r="B5" s="187" t="s">
        <v>267</v>
      </c>
      <c r="C5" s="188" t="s">
        <v>268</v>
      </c>
      <c r="D5" s="187" t="s">
        <v>105</v>
      </c>
      <c r="E5" s="189" t="s">
        <v>270</v>
      </c>
      <c r="F5" s="219">
        <v>14743300</v>
      </c>
      <c r="G5" s="190">
        <v>323</v>
      </c>
      <c r="H5" s="238" t="s">
        <v>268</v>
      </c>
      <c r="I5" s="239"/>
      <c r="J5" s="187" t="s">
        <v>105</v>
      </c>
    </row>
    <row r="6" spans="1:10" ht="15" customHeight="1" x14ac:dyDescent="0.15">
      <c r="A6" s="191"/>
      <c r="B6" s="192">
        <v>631</v>
      </c>
      <c r="C6" s="193" t="s">
        <v>273</v>
      </c>
      <c r="D6" s="194" t="s">
        <v>110</v>
      </c>
      <c r="E6" s="195" t="s">
        <v>274</v>
      </c>
      <c r="F6" s="208"/>
      <c r="G6" s="196" t="s">
        <v>272</v>
      </c>
      <c r="H6" s="240" t="s">
        <v>269</v>
      </c>
      <c r="I6" s="241"/>
      <c r="J6" s="194" t="s">
        <v>110</v>
      </c>
    </row>
    <row r="7" spans="1:10" ht="15" customHeight="1" x14ac:dyDescent="0.15">
      <c r="A7" s="186">
        <v>2</v>
      </c>
      <c r="B7" s="187" t="s">
        <v>106</v>
      </c>
      <c r="C7" s="188" t="s">
        <v>107</v>
      </c>
      <c r="D7" s="187" t="s">
        <v>108</v>
      </c>
      <c r="E7" s="189" t="s">
        <v>270</v>
      </c>
      <c r="F7" s="219">
        <v>31942</v>
      </c>
      <c r="G7" s="190" t="s">
        <v>43</v>
      </c>
      <c r="H7" s="238" t="s">
        <v>259</v>
      </c>
      <c r="I7" s="239"/>
      <c r="J7" s="187" t="s">
        <v>105</v>
      </c>
    </row>
    <row r="8" spans="1:10" ht="15" customHeight="1" x14ac:dyDescent="0.15">
      <c r="A8" s="191"/>
      <c r="B8" s="192"/>
      <c r="C8" s="193"/>
      <c r="D8" s="194">
        <v>301</v>
      </c>
      <c r="E8" s="195" t="s">
        <v>275</v>
      </c>
      <c r="F8" s="208"/>
      <c r="G8" s="197" t="s">
        <v>109</v>
      </c>
      <c r="H8" s="240" t="s">
        <v>271</v>
      </c>
      <c r="I8" s="241"/>
      <c r="J8" s="194" t="s">
        <v>110</v>
      </c>
    </row>
    <row r="9" spans="1:10" ht="15" customHeight="1" x14ac:dyDescent="0.15">
      <c r="A9" s="186">
        <v>3</v>
      </c>
      <c r="B9" s="187" t="s">
        <v>267</v>
      </c>
      <c r="C9" s="188" t="s">
        <v>268</v>
      </c>
      <c r="D9" s="187" t="s">
        <v>105</v>
      </c>
      <c r="E9" s="189" t="s">
        <v>270</v>
      </c>
      <c r="F9" s="219">
        <v>2049400</v>
      </c>
      <c r="G9" s="190">
        <v>323</v>
      </c>
      <c r="H9" s="238" t="s">
        <v>268</v>
      </c>
      <c r="I9" s="239"/>
      <c r="J9" s="187" t="s">
        <v>105</v>
      </c>
    </row>
    <row r="10" spans="1:10" ht="15" customHeight="1" x14ac:dyDescent="0.15">
      <c r="A10" s="191"/>
      <c r="B10" s="192">
        <v>631</v>
      </c>
      <c r="C10" s="193" t="s">
        <v>273</v>
      </c>
      <c r="D10" s="194"/>
      <c r="E10" s="195" t="s">
        <v>276</v>
      </c>
      <c r="F10" s="208"/>
      <c r="G10" s="197">
        <v>631</v>
      </c>
      <c r="H10" s="240" t="s">
        <v>273</v>
      </c>
      <c r="I10" s="241"/>
      <c r="J10" s="194"/>
    </row>
    <row r="11" spans="1:10" ht="15" customHeight="1" x14ac:dyDescent="0.15">
      <c r="A11" s="186">
        <v>4</v>
      </c>
      <c r="B11" s="187" t="s">
        <v>106</v>
      </c>
      <c r="C11" s="188" t="s">
        <v>107</v>
      </c>
      <c r="D11" s="187" t="s">
        <v>108</v>
      </c>
      <c r="E11" s="189" t="s">
        <v>270</v>
      </c>
      <c r="F11" s="219">
        <v>12296</v>
      </c>
      <c r="G11" s="190" t="s">
        <v>43</v>
      </c>
      <c r="H11" s="238" t="s">
        <v>259</v>
      </c>
      <c r="I11" s="239"/>
      <c r="J11" s="187" t="s">
        <v>105</v>
      </c>
    </row>
    <row r="12" spans="1:10" ht="15" customHeight="1" x14ac:dyDescent="0.15">
      <c r="A12" s="191"/>
      <c r="B12" s="192"/>
      <c r="C12" s="193"/>
      <c r="D12" s="194">
        <v>302</v>
      </c>
      <c r="E12" s="195" t="s">
        <v>277</v>
      </c>
      <c r="F12" s="208"/>
      <c r="G12" s="197" t="s">
        <v>109</v>
      </c>
      <c r="H12" s="240" t="s">
        <v>271</v>
      </c>
      <c r="I12" s="241"/>
      <c r="J12" s="194" t="s">
        <v>110</v>
      </c>
    </row>
    <row r="13" spans="1:10" ht="15" customHeight="1" x14ac:dyDescent="0.15">
      <c r="A13" s="186">
        <v>5</v>
      </c>
      <c r="B13" s="187" t="s">
        <v>267</v>
      </c>
      <c r="C13" s="188" t="s">
        <v>268</v>
      </c>
      <c r="D13" s="187" t="s">
        <v>105</v>
      </c>
      <c r="E13" s="189" t="s">
        <v>270</v>
      </c>
      <c r="F13" s="219">
        <v>2214600</v>
      </c>
      <c r="G13" s="190">
        <v>323</v>
      </c>
      <c r="H13" s="238" t="s">
        <v>268</v>
      </c>
      <c r="I13" s="239"/>
      <c r="J13" s="187" t="s">
        <v>105</v>
      </c>
    </row>
    <row r="14" spans="1:10" ht="15" customHeight="1" x14ac:dyDescent="0.15">
      <c r="A14" s="191"/>
      <c r="B14" s="192">
        <v>631</v>
      </c>
      <c r="C14" s="193" t="s">
        <v>273</v>
      </c>
      <c r="D14" s="194"/>
      <c r="E14" s="195" t="s">
        <v>278</v>
      </c>
      <c r="F14" s="208"/>
      <c r="G14" s="197">
        <v>631</v>
      </c>
      <c r="H14" s="240" t="s">
        <v>273</v>
      </c>
      <c r="I14" s="241"/>
      <c r="J14" s="194"/>
    </row>
    <row r="15" spans="1:10" ht="15" customHeight="1" x14ac:dyDescent="0.15">
      <c r="A15" s="186">
        <v>6</v>
      </c>
      <c r="B15" s="187" t="s">
        <v>106</v>
      </c>
      <c r="C15" s="188" t="s">
        <v>107</v>
      </c>
      <c r="D15" s="187" t="s">
        <v>108</v>
      </c>
      <c r="E15" s="189" t="s">
        <v>270</v>
      </c>
      <c r="F15" s="219">
        <v>13288</v>
      </c>
      <c r="G15" s="190" t="s">
        <v>43</v>
      </c>
      <c r="H15" s="238" t="s">
        <v>259</v>
      </c>
      <c r="I15" s="239"/>
      <c r="J15" s="187" t="s">
        <v>105</v>
      </c>
    </row>
    <row r="16" spans="1:10" ht="15" customHeight="1" x14ac:dyDescent="0.15">
      <c r="A16" s="191"/>
      <c r="B16" s="192"/>
      <c r="C16" s="193"/>
      <c r="D16" s="194">
        <v>303</v>
      </c>
      <c r="E16" s="195" t="s">
        <v>279</v>
      </c>
      <c r="F16" s="208"/>
      <c r="G16" s="197" t="s">
        <v>109</v>
      </c>
      <c r="H16" s="240" t="s">
        <v>271</v>
      </c>
      <c r="I16" s="241"/>
      <c r="J16" s="194" t="s">
        <v>110</v>
      </c>
    </row>
    <row r="17" spans="1:10" ht="15" customHeight="1" x14ac:dyDescent="0.15">
      <c r="A17" s="186">
        <v>7</v>
      </c>
      <c r="B17" s="187" t="s">
        <v>267</v>
      </c>
      <c r="C17" s="188" t="s">
        <v>268</v>
      </c>
      <c r="D17" s="187" t="s">
        <v>105</v>
      </c>
      <c r="E17" s="189" t="s">
        <v>270</v>
      </c>
      <c r="F17" s="219">
        <v>1481400</v>
      </c>
      <c r="G17" s="190">
        <v>323</v>
      </c>
      <c r="H17" s="238" t="s">
        <v>268</v>
      </c>
      <c r="I17" s="239"/>
      <c r="J17" s="187" t="s">
        <v>105</v>
      </c>
    </row>
    <row r="18" spans="1:10" ht="15" customHeight="1" x14ac:dyDescent="0.15">
      <c r="A18" s="191"/>
      <c r="B18" s="192">
        <v>631</v>
      </c>
      <c r="C18" s="193" t="s">
        <v>273</v>
      </c>
      <c r="D18" s="194"/>
      <c r="E18" s="195" t="s">
        <v>280</v>
      </c>
      <c r="F18" s="208"/>
      <c r="G18" s="197">
        <v>631</v>
      </c>
      <c r="H18" s="240" t="s">
        <v>273</v>
      </c>
      <c r="I18" s="241"/>
      <c r="J18" s="194"/>
    </row>
    <row r="19" spans="1:10" ht="15" customHeight="1" x14ac:dyDescent="0.15">
      <c r="A19" s="186">
        <v>8</v>
      </c>
      <c r="B19" s="187" t="s">
        <v>106</v>
      </c>
      <c r="C19" s="188" t="s">
        <v>107</v>
      </c>
      <c r="D19" s="187" t="s">
        <v>108</v>
      </c>
      <c r="E19" s="189" t="s">
        <v>270</v>
      </c>
      <c r="F19" s="219">
        <v>8888</v>
      </c>
      <c r="G19" s="190" t="s">
        <v>43</v>
      </c>
      <c r="H19" s="238" t="s">
        <v>259</v>
      </c>
      <c r="I19" s="239"/>
      <c r="J19" s="187" t="s">
        <v>105</v>
      </c>
    </row>
    <row r="20" spans="1:10" ht="15" customHeight="1" x14ac:dyDescent="0.15">
      <c r="A20" s="191"/>
      <c r="B20" s="192"/>
      <c r="C20" s="193"/>
      <c r="D20" s="194">
        <v>303</v>
      </c>
      <c r="E20" s="195" t="s">
        <v>281</v>
      </c>
      <c r="F20" s="208"/>
      <c r="G20" s="197" t="s">
        <v>109</v>
      </c>
      <c r="H20" s="240" t="s">
        <v>271</v>
      </c>
      <c r="I20" s="241"/>
      <c r="J20" s="194" t="s">
        <v>110</v>
      </c>
    </row>
    <row r="21" spans="1:10" ht="15" customHeight="1" x14ac:dyDescent="0.15">
      <c r="A21" s="186">
        <v>9</v>
      </c>
      <c r="B21" s="187" t="s">
        <v>267</v>
      </c>
      <c r="C21" s="188" t="s">
        <v>268</v>
      </c>
      <c r="D21" s="187" t="s">
        <v>105</v>
      </c>
      <c r="E21" s="189" t="s">
        <v>270</v>
      </c>
      <c r="F21" s="219">
        <v>1541300</v>
      </c>
      <c r="G21" s="190">
        <v>323</v>
      </c>
      <c r="H21" s="238" t="s">
        <v>268</v>
      </c>
      <c r="I21" s="239"/>
      <c r="J21" s="187" t="s">
        <v>105</v>
      </c>
    </row>
    <row r="22" spans="1:10" ht="15" customHeight="1" x14ac:dyDescent="0.15">
      <c r="A22" s="191"/>
      <c r="B22" s="192">
        <v>631</v>
      </c>
      <c r="C22" s="193" t="s">
        <v>273</v>
      </c>
      <c r="D22" s="194"/>
      <c r="E22" s="195" t="s">
        <v>282</v>
      </c>
      <c r="F22" s="208"/>
      <c r="G22" s="197">
        <v>631</v>
      </c>
      <c r="H22" s="240" t="s">
        <v>273</v>
      </c>
      <c r="I22" s="241"/>
      <c r="J22" s="194"/>
    </row>
    <row r="23" spans="1:10" ht="15" customHeight="1" x14ac:dyDescent="0.15">
      <c r="A23" s="186">
        <v>10</v>
      </c>
      <c r="B23" s="187" t="s">
        <v>106</v>
      </c>
      <c r="C23" s="188" t="s">
        <v>107</v>
      </c>
      <c r="D23" s="187" t="s">
        <v>108</v>
      </c>
      <c r="E23" s="189" t="s">
        <v>270</v>
      </c>
      <c r="F23" s="219">
        <v>9248</v>
      </c>
      <c r="G23" s="190" t="s">
        <v>43</v>
      </c>
      <c r="H23" s="238" t="s">
        <v>259</v>
      </c>
      <c r="I23" s="239"/>
      <c r="J23" s="187" t="s">
        <v>105</v>
      </c>
    </row>
    <row r="24" spans="1:10" ht="15" customHeight="1" x14ac:dyDescent="0.15">
      <c r="A24" s="191"/>
      <c r="B24" s="192"/>
      <c r="C24" s="193"/>
      <c r="D24" s="194">
        <v>304</v>
      </c>
      <c r="E24" s="195" t="s">
        <v>283</v>
      </c>
      <c r="F24" s="208"/>
      <c r="G24" s="197" t="s">
        <v>109</v>
      </c>
      <c r="H24" s="240" t="s">
        <v>271</v>
      </c>
      <c r="I24" s="241"/>
      <c r="J24" s="194" t="s">
        <v>110</v>
      </c>
    </row>
    <row r="25" spans="1:10" ht="15" customHeight="1" x14ac:dyDescent="0.15">
      <c r="A25" s="186">
        <v>11</v>
      </c>
      <c r="B25" s="187" t="s">
        <v>267</v>
      </c>
      <c r="C25" s="188" t="s">
        <v>268</v>
      </c>
      <c r="D25" s="187" t="s">
        <v>105</v>
      </c>
      <c r="E25" s="189" t="s">
        <v>270</v>
      </c>
      <c r="F25" s="219">
        <v>347900</v>
      </c>
      <c r="G25" s="190">
        <v>323</v>
      </c>
      <c r="H25" s="238" t="s">
        <v>268</v>
      </c>
      <c r="I25" s="239"/>
      <c r="J25" s="187" t="s">
        <v>105</v>
      </c>
    </row>
    <row r="26" spans="1:10" ht="15" customHeight="1" x14ac:dyDescent="0.15">
      <c r="A26" s="191"/>
      <c r="B26" s="192">
        <v>631</v>
      </c>
      <c r="C26" s="193" t="s">
        <v>273</v>
      </c>
      <c r="D26" s="194"/>
      <c r="E26" s="195" t="s">
        <v>284</v>
      </c>
      <c r="F26" s="208"/>
      <c r="G26" s="197">
        <v>631</v>
      </c>
      <c r="H26" s="240" t="s">
        <v>273</v>
      </c>
      <c r="I26" s="241"/>
      <c r="J26" s="194"/>
    </row>
    <row r="27" spans="1:10" ht="15" customHeight="1" x14ac:dyDescent="0.15">
      <c r="A27" s="186">
        <v>12</v>
      </c>
      <c r="B27" s="187" t="s">
        <v>106</v>
      </c>
      <c r="C27" s="188" t="s">
        <v>107</v>
      </c>
      <c r="D27" s="187" t="s">
        <v>108</v>
      </c>
      <c r="E27" s="189" t="s">
        <v>270</v>
      </c>
      <c r="F27" s="219">
        <v>2087</v>
      </c>
      <c r="G27" s="190" t="s">
        <v>43</v>
      </c>
      <c r="H27" s="238" t="s">
        <v>259</v>
      </c>
      <c r="I27" s="239"/>
      <c r="J27" s="187" t="s">
        <v>105</v>
      </c>
    </row>
    <row r="28" spans="1:10" ht="15" customHeight="1" x14ac:dyDescent="0.15">
      <c r="A28" s="191"/>
      <c r="B28" s="192"/>
      <c r="C28" s="193"/>
      <c r="D28" s="194">
        <v>304</v>
      </c>
      <c r="E28" s="195" t="s">
        <v>285</v>
      </c>
      <c r="F28" s="208"/>
      <c r="G28" s="197" t="s">
        <v>109</v>
      </c>
      <c r="H28" s="240" t="s">
        <v>271</v>
      </c>
      <c r="I28" s="241"/>
      <c r="J28" s="194" t="s">
        <v>110</v>
      </c>
    </row>
    <row r="29" spans="1:10" ht="15" customHeight="1" x14ac:dyDescent="0.15">
      <c r="A29" s="186">
        <v>13</v>
      </c>
      <c r="B29" s="187" t="s">
        <v>267</v>
      </c>
      <c r="C29" s="188" t="s">
        <v>268</v>
      </c>
      <c r="D29" s="187" t="s">
        <v>105</v>
      </c>
      <c r="E29" s="189" t="s">
        <v>270</v>
      </c>
      <c r="F29" s="219">
        <v>927000</v>
      </c>
      <c r="G29" s="190">
        <v>323</v>
      </c>
      <c r="H29" s="238" t="s">
        <v>268</v>
      </c>
      <c r="I29" s="239"/>
      <c r="J29" s="187" t="s">
        <v>105</v>
      </c>
    </row>
    <row r="30" spans="1:10" ht="15" customHeight="1" x14ac:dyDescent="0.15">
      <c r="A30" s="191"/>
      <c r="B30" s="192">
        <v>631</v>
      </c>
      <c r="C30" s="193" t="s">
        <v>273</v>
      </c>
      <c r="D30" s="194"/>
      <c r="E30" s="195" t="s">
        <v>286</v>
      </c>
      <c r="F30" s="208"/>
      <c r="G30" s="197">
        <v>631</v>
      </c>
      <c r="H30" s="240" t="s">
        <v>273</v>
      </c>
      <c r="I30" s="241"/>
      <c r="J30" s="194"/>
    </row>
    <row r="31" spans="1:10" ht="15" customHeight="1" x14ac:dyDescent="0.15">
      <c r="A31" s="186">
        <v>14</v>
      </c>
      <c r="B31" s="187" t="s">
        <v>106</v>
      </c>
      <c r="C31" s="188" t="s">
        <v>107</v>
      </c>
      <c r="D31" s="187" t="s">
        <v>108</v>
      </c>
      <c r="E31" s="189" t="s">
        <v>270</v>
      </c>
      <c r="F31" s="219">
        <v>5562</v>
      </c>
      <c r="G31" s="190" t="s">
        <v>43</v>
      </c>
      <c r="H31" s="238" t="s">
        <v>259</v>
      </c>
      <c r="I31" s="239"/>
      <c r="J31" s="187" t="s">
        <v>105</v>
      </c>
    </row>
    <row r="32" spans="1:10" ht="15" customHeight="1" x14ac:dyDescent="0.15">
      <c r="A32" s="191"/>
      <c r="B32" s="192"/>
      <c r="C32" s="193"/>
      <c r="D32" s="194">
        <v>305</v>
      </c>
      <c r="E32" s="195" t="s">
        <v>287</v>
      </c>
      <c r="F32" s="208"/>
      <c r="G32" s="197" t="s">
        <v>109</v>
      </c>
      <c r="H32" s="240" t="s">
        <v>271</v>
      </c>
      <c r="I32" s="241"/>
      <c r="J32" s="194" t="s">
        <v>110</v>
      </c>
    </row>
    <row r="33" spans="1:10" ht="15" customHeight="1" x14ac:dyDescent="0.15">
      <c r="A33" s="186">
        <v>15</v>
      </c>
      <c r="B33" s="187" t="s">
        <v>267</v>
      </c>
      <c r="C33" s="188" t="s">
        <v>268</v>
      </c>
      <c r="D33" s="187" t="s">
        <v>105</v>
      </c>
      <c r="E33" s="189" t="s">
        <v>270</v>
      </c>
      <c r="F33" s="219">
        <v>454300</v>
      </c>
      <c r="G33" s="190">
        <v>323</v>
      </c>
      <c r="H33" s="238" t="s">
        <v>268</v>
      </c>
      <c r="I33" s="239"/>
      <c r="J33" s="187" t="s">
        <v>105</v>
      </c>
    </row>
    <row r="34" spans="1:10" ht="15" customHeight="1" x14ac:dyDescent="0.15">
      <c r="A34" s="191"/>
      <c r="B34" s="192">
        <v>631</v>
      </c>
      <c r="C34" s="193" t="s">
        <v>273</v>
      </c>
      <c r="D34" s="194"/>
      <c r="E34" s="195" t="s">
        <v>250</v>
      </c>
      <c r="F34" s="208"/>
      <c r="G34" s="197">
        <v>631</v>
      </c>
      <c r="H34" s="240" t="s">
        <v>273</v>
      </c>
      <c r="I34" s="241"/>
      <c r="J34" s="194"/>
    </row>
    <row r="35" spans="1:10" ht="15" customHeight="1" x14ac:dyDescent="0.15">
      <c r="A35" s="186">
        <v>16</v>
      </c>
      <c r="B35" s="187" t="s">
        <v>106</v>
      </c>
      <c r="C35" s="188" t="s">
        <v>107</v>
      </c>
      <c r="D35" s="187" t="s">
        <v>108</v>
      </c>
      <c r="E35" s="189" t="s">
        <v>270</v>
      </c>
      <c r="F35" s="219">
        <v>2660</v>
      </c>
      <c r="G35" s="190" t="s">
        <v>43</v>
      </c>
      <c r="H35" s="238" t="s">
        <v>259</v>
      </c>
      <c r="I35" s="239"/>
      <c r="J35" s="187" t="s">
        <v>105</v>
      </c>
    </row>
    <row r="36" spans="1:10" ht="15" customHeight="1" x14ac:dyDescent="0.15">
      <c r="A36" s="191"/>
      <c r="B36" s="192"/>
      <c r="C36" s="193"/>
      <c r="D36" s="194">
        <v>305</v>
      </c>
      <c r="E36" s="195" t="s">
        <v>251</v>
      </c>
      <c r="F36" s="208"/>
      <c r="G36" s="197" t="s">
        <v>109</v>
      </c>
      <c r="H36" s="240" t="s">
        <v>271</v>
      </c>
      <c r="I36" s="241"/>
      <c r="J36" s="194" t="s">
        <v>110</v>
      </c>
    </row>
    <row r="37" spans="1:10" ht="15" customHeight="1" x14ac:dyDescent="0.15">
      <c r="A37" s="186">
        <v>17</v>
      </c>
      <c r="B37" s="187" t="s">
        <v>267</v>
      </c>
      <c r="C37" s="188" t="s">
        <v>268</v>
      </c>
      <c r="D37" s="187" t="s">
        <v>105</v>
      </c>
      <c r="E37" s="189" t="s">
        <v>270</v>
      </c>
      <c r="F37" s="219">
        <v>20000</v>
      </c>
      <c r="G37" s="190" t="s">
        <v>117</v>
      </c>
      <c r="H37" s="238" t="s">
        <v>118</v>
      </c>
      <c r="I37" s="239"/>
      <c r="J37" s="187" t="s">
        <v>105</v>
      </c>
    </row>
    <row r="38" spans="1:10" ht="15" customHeight="1" x14ac:dyDescent="0.15">
      <c r="A38" s="191"/>
      <c r="B38" s="192">
        <v>631</v>
      </c>
      <c r="C38" s="193" t="s">
        <v>273</v>
      </c>
      <c r="D38" s="194"/>
      <c r="E38" s="195" t="s">
        <v>288</v>
      </c>
      <c r="F38" s="208"/>
      <c r="G38" s="197">
        <v>575</v>
      </c>
      <c r="H38" s="240" t="s">
        <v>119</v>
      </c>
      <c r="I38" s="241"/>
      <c r="J38" s="194" t="s">
        <v>110</v>
      </c>
    </row>
    <row r="39" spans="1:10" ht="15" customHeight="1" x14ac:dyDescent="0.15">
      <c r="A39" s="186"/>
      <c r="B39" s="187"/>
      <c r="C39" s="188"/>
      <c r="D39" s="187"/>
      <c r="E39" s="189"/>
      <c r="F39" s="219"/>
      <c r="G39" s="190"/>
      <c r="H39" s="238"/>
      <c r="I39" s="239"/>
      <c r="J39" s="187"/>
    </row>
    <row r="40" spans="1:10" ht="15" customHeight="1" x14ac:dyDescent="0.15">
      <c r="A40" s="191"/>
      <c r="B40" s="192"/>
      <c r="C40" s="193"/>
      <c r="D40" s="194"/>
      <c r="E40" s="195"/>
      <c r="F40" s="208"/>
      <c r="G40" s="197"/>
      <c r="H40" s="240"/>
      <c r="I40" s="241"/>
      <c r="J40" s="194"/>
    </row>
    <row r="41" spans="1:10" ht="15" customHeight="1" x14ac:dyDescent="0.15">
      <c r="A41" s="186"/>
      <c r="B41" s="187"/>
      <c r="C41" s="188"/>
      <c r="D41" s="187"/>
      <c r="E41" s="189"/>
      <c r="F41" s="219"/>
      <c r="G41" s="190"/>
      <c r="H41" s="238"/>
      <c r="I41" s="239"/>
      <c r="J41" s="187"/>
    </row>
    <row r="42" spans="1:10" ht="15" customHeight="1" x14ac:dyDescent="0.15">
      <c r="A42" s="191"/>
      <c r="B42" s="192"/>
      <c r="C42" s="193"/>
      <c r="D42" s="194"/>
      <c r="E42" s="195"/>
      <c r="F42" s="208"/>
      <c r="G42" s="197"/>
      <c r="H42" s="240"/>
      <c r="I42" s="241"/>
      <c r="J42" s="194"/>
    </row>
    <row r="43" spans="1:10" ht="15" customHeight="1" x14ac:dyDescent="0.15">
      <c r="A43" s="214"/>
      <c r="B43" s="215"/>
      <c r="C43" s="216"/>
      <c r="D43" s="217"/>
      <c r="E43" s="218"/>
      <c r="F43" s="219"/>
      <c r="G43" s="213"/>
      <c r="H43" s="238"/>
      <c r="I43" s="239"/>
      <c r="J43" s="187"/>
    </row>
    <row r="44" spans="1:10" ht="15" customHeight="1" x14ac:dyDescent="0.15">
      <c r="A44" s="214"/>
      <c r="B44" s="215"/>
      <c r="C44" s="216"/>
      <c r="D44" s="217"/>
      <c r="E44" s="218"/>
      <c r="F44" s="208"/>
      <c r="G44" s="212"/>
      <c r="H44" s="240"/>
      <c r="I44" s="241"/>
      <c r="J44" s="194"/>
    </row>
    <row r="45" spans="1:10" ht="15" customHeight="1" x14ac:dyDescent="0.15">
      <c r="A45" s="186"/>
      <c r="B45" s="187"/>
      <c r="C45" s="188"/>
      <c r="D45" s="187"/>
      <c r="E45" s="189"/>
      <c r="F45" s="219"/>
      <c r="G45" s="190"/>
      <c r="H45" s="238"/>
      <c r="I45" s="239"/>
      <c r="J45" s="187"/>
    </row>
    <row r="46" spans="1:10" ht="15" customHeight="1" x14ac:dyDescent="0.15">
      <c r="A46" s="191"/>
      <c r="B46" s="192"/>
      <c r="C46" s="193"/>
      <c r="D46" s="194"/>
      <c r="E46" s="195"/>
      <c r="F46" s="208"/>
      <c r="G46" s="197"/>
      <c r="H46" s="240"/>
      <c r="I46" s="241"/>
      <c r="J46" s="194"/>
    </row>
    <row r="47" spans="1:10" ht="15" customHeight="1" x14ac:dyDescent="0.15">
      <c r="E47" s="198"/>
      <c r="F47" s="219">
        <f>F5+F7+F9+F11+F13+F15+F17+F19+F21+F23+F25+F27+F29+F31+F33+F35+F37+F39+F41+F43+F45</f>
        <v>23865171</v>
      </c>
    </row>
    <row r="48" spans="1:10" ht="15" customHeight="1" thickBot="1" x14ac:dyDescent="0.2">
      <c r="E48" s="199" t="s">
        <v>128</v>
      </c>
      <c r="F48" s="209">
        <f>F6+F8+F10+F12+F14+F16+F18+F20+F22+F24+F26+F28+F30+F32+F34+F36+F38+F40+F42+F44+F46</f>
        <v>0</v>
      </c>
    </row>
  </sheetData>
  <mergeCells count="49">
    <mergeCell ref="H10:I10"/>
    <mergeCell ref="B1:C1"/>
    <mergeCell ref="G2:H2"/>
    <mergeCell ref="I2:J2"/>
    <mergeCell ref="G3:H3"/>
    <mergeCell ref="I3:J3"/>
    <mergeCell ref="B4:C4"/>
    <mergeCell ref="G4:I4"/>
    <mergeCell ref="H5:I5"/>
    <mergeCell ref="H6:I6"/>
    <mergeCell ref="H7:I7"/>
    <mergeCell ref="H8:I8"/>
    <mergeCell ref="H9:I9"/>
    <mergeCell ref="H22:I22"/>
    <mergeCell ref="H11:I11"/>
    <mergeCell ref="H12:I12"/>
    <mergeCell ref="H13:I13"/>
    <mergeCell ref="H14:I14"/>
    <mergeCell ref="H15:I15"/>
    <mergeCell ref="H16:I16"/>
    <mergeCell ref="H17:I17"/>
    <mergeCell ref="H18:I18"/>
    <mergeCell ref="H19:I19"/>
    <mergeCell ref="H20:I20"/>
    <mergeCell ref="H21:I21"/>
    <mergeCell ref="H34:I34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41:I41"/>
    <mergeCell ref="H42:I42"/>
    <mergeCell ref="H45:I45"/>
    <mergeCell ref="H46:I46"/>
    <mergeCell ref="H35:I35"/>
    <mergeCell ref="H36:I36"/>
    <mergeCell ref="H37:I37"/>
    <mergeCell ref="H38:I38"/>
    <mergeCell ref="H39:I39"/>
    <mergeCell ref="H40:I40"/>
    <mergeCell ref="H43:I43"/>
    <mergeCell ref="H44:I44"/>
  </mergeCells>
  <phoneticPr fontId="1"/>
  <pageMargins left="0.39370078740157483" right="0.39370078740157483" top="0.98425196850393704" bottom="0.98425196850393704" header="0.51181102362204722" footer="0.51181102362204722"/>
  <pageSetup paperSize="9" scale="98" orientation="portrait" verticalDpi="18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N17"/>
  <sheetViews>
    <sheetView workbookViewId="0">
      <selection activeCell="L16" sqref="L16"/>
    </sheetView>
  </sheetViews>
  <sheetFormatPr defaultRowHeight="13.5" x14ac:dyDescent="0.15"/>
  <cols>
    <col min="1" max="1" width="10.625" style="10" customWidth="1"/>
    <col min="2" max="13" width="8.625" style="10" customWidth="1"/>
    <col min="14" max="14" width="10.625" style="10" customWidth="1"/>
    <col min="15" max="258" width="9" style="10"/>
    <col min="259" max="259" width="10.625" style="10" customWidth="1"/>
    <col min="260" max="269" width="8.625" style="10" customWidth="1"/>
    <col min="270" max="270" width="10.625" style="10" customWidth="1"/>
    <col min="271" max="514" width="9" style="10"/>
    <col min="515" max="515" width="10.625" style="10" customWidth="1"/>
    <col min="516" max="525" width="8.625" style="10" customWidth="1"/>
    <col min="526" max="526" width="10.625" style="10" customWidth="1"/>
    <col min="527" max="770" width="9" style="10"/>
    <col min="771" max="771" width="10.625" style="10" customWidth="1"/>
    <col min="772" max="781" width="8.625" style="10" customWidth="1"/>
    <col min="782" max="782" width="10.625" style="10" customWidth="1"/>
    <col min="783" max="1026" width="9" style="10"/>
    <col min="1027" max="1027" width="10.625" style="10" customWidth="1"/>
    <col min="1028" max="1037" width="8.625" style="10" customWidth="1"/>
    <col min="1038" max="1038" width="10.625" style="10" customWidth="1"/>
    <col min="1039" max="1282" width="9" style="10"/>
    <col min="1283" max="1283" width="10.625" style="10" customWidth="1"/>
    <col min="1284" max="1293" width="8.625" style="10" customWidth="1"/>
    <col min="1294" max="1294" width="10.625" style="10" customWidth="1"/>
    <col min="1295" max="1538" width="9" style="10"/>
    <col min="1539" max="1539" width="10.625" style="10" customWidth="1"/>
    <col min="1540" max="1549" width="8.625" style="10" customWidth="1"/>
    <col min="1550" max="1550" width="10.625" style="10" customWidth="1"/>
    <col min="1551" max="1794" width="9" style="10"/>
    <col min="1795" max="1795" width="10.625" style="10" customWidth="1"/>
    <col min="1796" max="1805" width="8.625" style="10" customWidth="1"/>
    <col min="1806" max="1806" width="10.625" style="10" customWidth="1"/>
    <col min="1807" max="2050" width="9" style="10"/>
    <col min="2051" max="2051" width="10.625" style="10" customWidth="1"/>
    <col min="2052" max="2061" width="8.625" style="10" customWidth="1"/>
    <col min="2062" max="2062" width="10.625" style="10" customWidth="1"/>
    <col min="2063" max="2306" width="9" style="10"/>
    <col min="2307" max="2307" width="10.625" style="10" customWidth="1"/>
    <col min="2308" max="2317" width="8.625" style="10" customWidth="1"/>
    <col min="2318" max="2318" width="10.625" style="10" customWidth="1"/>
    <col min="2319" max="2562" width="9" style="10"/>
    <col min="2563" max="2563" width="10.625" style="10" customWidth="1"/>
    <col min="2564" max="2573" width="8.625" style="10" customWidth="1"/>
    <col min="2574" max="2574" width="10.625" style="10" customWidth="1"/>
    <col min="2575" max="2818" width="9" style="10"/>
    <col min="2819" max="2819" width="10.625" style="10" customWidth="1"/>
    <col min="2820" max="2829" width="8.625" style="10" customWidth="1"/>
    <col min="2830" max="2830" width="10.625" style="10" customWidth="1"/>
    <col min="2831" max="3074" width="9" style="10"/>
    <col min="3075" max="3075" width="10.625" style="10" customWidth="1"/>
    <col min="3076" max="3085" width="8.625" style="10" customWidth="1"/>
    <col min="3086" max="3086" width="10.625" style="10" customWidth="1"/>
    <col min="3087" max="3330" width="9" style="10"/>
    <col min="3331" max="3331" width="10.625" style="10" customWidth="1"/>
    <col min="3332" max="3341" width="8.625" style="10" customWidth="1"/>
    <col min="3342" max="3342" width="10.625" style="10" customWidth="1"/>
    <col min="3343" max="3586" width="9" style="10"/>
    <col min="3587" max="3587" width="10.625" style="10" customWidth="1"/>
    <col min="3588" max="3597" width="8.625" style="10" customWidth="1"/>
    <col min="3598" max="3598" width="10.625" style="10" customWidth="1"/>
    <col min="3599" max="3842" width="9" style="10"/>
    <col min="3843" max="3843" width="10.625" style="10" customWidth="1"/>
    <col min="3844" max="3853" width="8.625" style="10" customWidth="1"/>
    <col min="3854" max="3854" width="10.625" style="10" customWidth="1"/>
    <col min="3855" max="4098" width="9" style="10"/>
    <col min="4099" max="4099" width="10.625" style="10" customWidth="1"/>
    <col min="4100" max="4109" width="8.625" style="10" customWidth="1"/>
    <col min="4110" max="4110" width="10.625" style="10" customWidth="1"/>
    <col min="4111" max="4354" width="9" style="10"/>
    <col min="4355" max="4355" width="10.625" style="10" customWidth="1"/>
    <col min="4356" max="4365" width="8.625" style="10" customWidth="1"/>
    <col min="4366" max="4366" width="10.625" style="10" customWidth="1"/>
    <col min="4367" max="4610" width="9" style="10"/>
    <col min="4611" max="4611" width="10.625" style="10" customWidth="1"/>
    <col min="4612" max="4621" width="8.625" style="10" customWidth="1"/>
    <col min="4622" max="4622" width="10.625" style="10" customWidth="1"/>
    <col min="4623" max="4866" width="9" style="10"/>
    <col min="4867" max="4867" width="10.625" style="10" customWidth="1"/>
    <col min="4868" max="4877" width="8.625" style="10" customWidth="1"/>
    <col min="4878" max="4878" width="10.625" style="10" customWidth="1"/>
    <col min="4879" max="5122" width="9" style="10"/>
    <col min="5123" max="5123" width="10.625" style="10" customWidth="1"/>
    <col min="5124" max="5133" width="8.625" style="10" customWidth="1"/>
    <col min="5134" max="5134" width="10.625" style="10" customWidth="1"/>
    <col min="5135" max="5378" width="9" style="10"/>
    <col min="5379" max="5379" width="10.625" style="10" customWidth="1"/>
    <col min="5380" max="5389" width="8.625" style="10" customWidth="1"/>
    <col min="5390" max="5390" width="10.625" style="10" customWidth="1"/>
    <col min="5391" max="5634" width="9" style="10"/>
    <col min="5635" max="5635" width="10.625" style="10" customWidth="1"/>
    <col min="5636" max="5645" width="8.625" style="10" customWidth="1"/>
    <col min="5646" max="5646" width="10.625" style="10" customWidth="1"/>
    <col min="5647" max="5890" width="9" style="10"/>
    <col min="5891" max="5891" width="10.625" style="10" customWidth="1"/>
    <col min="5892" max="5901" width="8.625" style="10" customWidth="1"/>
    <col min="5902" max="5902" width="10.625" style="10" customWidth="1"/>
    <col min="5903" max="6146" width="9" style="10"/>
    <col min="6147" max="6147" width="10.625" style="10" customWidth="1"/>
    <col min="6148" max="6157" width="8.625" style="10" customWidth="1"/>
    <col min="6158" max="6158" width="10.625" style="10" customWidth="1"/>
    <col min="6159" max="6402" width="9" style="10"/>
    <col min="6403" max="6403" width="10.625" style="10" customWidth="1"/>
    <col min="6404" max="6413" width="8.625" style="10" customWidth="1"/>
    <col min="6414" max="6414" width="10.625" style="10" customWidth="1"/>
    <col min="6415" max="6658" width="9" style="10"/>
    <col min="6659" max="6659" width="10.625" style="10" customWidth="1"/>
    <col min="6660" max="6669" width="8.625" style="10" customWidth="1"/>
    <col min="6670" max="6670" width="10.625" style="10" customWidth="1"/>
    <col min="6671" max="6914" width="9" style="10"/>
    <col min="6915" max="6915" width="10.625" style="10" customWidth="1"/>
    <col min="6916" max="6925" width="8.625" style="10" customWidth="1"/>
    <col min="6926" max="6926" width="10.625" style="10" customWidth="1"/>
    <col min="6927" max="7170" width="9" style="10"/>
    <col min="7171" max="7171" width="10.625" style="10" customWidth="1"/>
    <col min="7172" max="7181" width="8.625" style="10" customWidth="1"/>
    <col min="7182" max="7182" width="10.625" style="10" customWidth="1"/>
    <col min="7183" max="7426" width="9" style="10"/>
    <col min="7427" max="7427" width="10.625" style="10" customWidth="1"/>
    <col min="7428" max="7437" width="8.625" style="10" customWidth="1"/>
    <col min="7438" max="7438" width="10.625" style="10" customWidth="1"/>
    <col min="7439" max="7682" width="9" style="10"/>
    <col min="7683" max="7683" width="10.625" style="10" customWidth="1"/>
    <col min="7684" max="7693" width="8.625" style="10" customWidth="1"/>
    <col min="7694" max="7694" width="10.625" style="10" customWidth="1"/>
    <col min="7695" max="7938" width="9" style="10"/>
    <col min="7939" max="7939" width="10.625" style="10" customWidth="1"/>
    <col min="7940" max="7949" width="8.625" style="10" customWidth="1"/>
    <col min="7950" max="7950" width="10.625" style="10" customWidth="1"/>
    <col min="7951" max="8194" width="9" style="10"/>
    <col min="8195" max="8195" width="10.625" style="10" customWidth="1"/>
    <col min="8196" max="8205" width="8.625" style="10" customWidth="1"/>
    <col min="8206" max="8206" width="10.625" style="10" customWidth="1"/>
    <col min="8207" max="8450" width="9" style="10"/>
    <col min="8451" max="8451" width="10.625" style="10" customWidth="1"/>
    <col min="8452" max="8461" width="8.625" style="10" customWidth="1"/>
    <col min="8462" max="8462" width="10.625" style="10" customWidth="1"/>
    <col min="8463" max="8706" width="9" style="10"/>
    <col min="8707" max="8707" width="10.625" style="10" customWidth="1"/>
    <col min="8708" max="8717" width="8.625" style="10" customWidth="1"/>
    <col min="8718" max="8718" width="10.625" style="10" customWidth="1"/>
    <col min="8719" max="8962" width="9" style="10"/>
    <col min="8963" max="8963" width="10.625" style="10" customWidth="1"/>
    <col min="8964" max="8973" width="8.625" style="10" customWidth="1"/>
    <col min="8974" max="8974" width="10.625" style="10" customWidth="1"/>
    <col min="8975" max="9218" width="9" style="10"/>
    <col min="9219" max="9219" width="10.625" style="10" customWidth="1"/>
    <col min="9220" max="9229" width="8.625" style="10" customWidth="1"/>
    <col min="9230" max="9230" width="10.625" style="10" customWidth="1"/>
    <col min="9231" max="9474" width="9" style="10"/>
    <col min="9475" max="9475" width="10.625" style="10" customWidth="1"/>
    <col min="9476" max="9485" width="8.625" style="10" customWidth="1"/>
    <col min="9486" max="9486" width="10.625" style="10" customWidth="1"/>
    <col min="9487" max="9730" width="9" style="10"/>
    <col min="9731" max="9731" width="10.625" style="10" customWidth="1"/>
    <col min="9732" max="9741" width="8.625" style="10" customWidth="1"/>
    <col min="9742" max="9742" width="10.625" style="10" customWidth="1"/>
    <col min="9743" max="9986" width="9" style="10"/>
    <col min="9987" max="9987" width="10.625" style="10" customWidth="1"/>
    <col min="9988" max="9997" width="8.625" style="10" customWidth="1"/>
    <col min="9998" max="9998" width="10.625" style="10" customWidth="1"/>
    <col min="9999" max="10242" width="9" style="10"/>
    <col min="10243" max="10243" width="10.625" style="10" customWidth="1"/>
    <col min="10244" max="10253" width="8.625" style="10" customWidth="1"/>
    <col min="10254" max="10254" width="10.625" style="10" customWidth="1"/>
    <col min="10255" max="10498" width="9" style="10"/>
    <col min="10499" max="10499" width="10.625" style="10" customWidth="1"/>
    <col min="10500" max="10509" width="8.625" style="10" customWidth="1"/>
    <col min="10510" max="10510" width="10.625" style="10" customWidth="1"/>
    <col min="10511" max="10754" width="9" style="10"/>
    <col min="10755" max="10755" width="10.625" style="10" customWidth="1"/>
    <col min="10756" max="10765" width="8.625" style="10" customWidth="1"/>
    <col min="10766" max="10766" width="10.625" style="10" customWidth="1"/>
    <col min="10767" max="11010" width="9" style="10"/>
    <col min="11011" max="11011" width="10.625" style="10" customWidth="1"/>
    <col min="11012" max="11021" width="8.625" style="10" customWidth="1"/>
    <col min="11022" max="11022" width="10.625" style="10" customWidth="1"/>
    <col min="11023" max="11266" width="9" style="10"/>
    <col min="11267" max="11267" width="10.625" style="10" customWidth="1"/>
    <col min="11268" max="11277" width="8.625" style="10" customWidth="1"/>
    <col min="11278" max="11278" width="10.625" style="10" customWidth="1"/>
    <col min="11279" max="11522" width="9" style="10"/>
    <col min="11523" max="11523" width="10.625" style="10" customWidth="1"/>
    <col min="11524" max="11533" width="8.625" style="10" customWidth="1"/>
    <col min="11534" max="11534" width="10.625" style="10" customWidth="1"/>
    <col min="11535" max="11778" width="9" style="10"/>
    <col min="11779" max="11779" width="10.625" style="10" customWidth="1"/>
    <col min="11780" max="11789" width="8.625" style="10" customWidth="1"/>
    <col min="11790" max="11790" width="10.625" style="10" customWidth="1"/>
    <col min="11791" max="12034" width="9" style="10"/>
    <col min="12035" max="12035" width="10.625" style="10" customWidth="1"/>
    <col min="12036" max="12045" width="8.625" style="10" customWidth="1"/>
    <col min="12046" max="12046" width="10.625" style="10" customWidth="1"/>
    <col min="12047" max="12290" width="9" style="10"/>
    <col min="12291" max="12291" width="10.625" style="10" customWidth="1"/>
    <col min="12292" max="12301" width="8.625" style="10" customWidth="1"/>
    <col min="12302" max="12302" width="10.625" style="10" customWidth="1"/>
    <col min="12303" max="12546" width="9" style="10"/>
    <col min="12547" max="12547" width="10.625" style="10" customWidth="1"/>
    <col min="12548" max="12557" width="8.625" style="10" customWidth="1"/>
    <col min="12558" max="12558" width="10.625" style="10" customWidth="1"/>
    <col min="12559" max="12802" width="9" style="10"/>
    <col min="12803" max="12803" width="10.625" style="10" customWidth="1"/>
    <col min="12804" max="12813" width="8.625" style="10" customWidth="1"/>
    <col min="12814" max="12814" width="10.625" style="10" customWidth="1"/>
    <col min="12815" max="13058" width="9" style="10"/>
    <col min="13059" max="13059" width="10.625" style="10" customWidth="1"/>
    <col min="13060" max="13069" width="8.625" style="10" customWidth="1"/>
    <col min="13070" max="13070" width="10.625" style="10" customWidth="1"/>
    <col min="13071" max="13314" width="9" style="10"/>
    <col min="13315" max="13315" width="10.625" style="10" customWidth="1"/>
    <col min="13316" max="13325" width="8.625" style="10" customWidth="1"/>
    <col min="13326" max="13326" width="10.625" style="10" customWidth="1"/>
    <col min="13327" max="13570" width="9" style="10"/>
    <col min="13571" max="13571" width="10.625" style="10" customWidth="1"/>
    <col min="13572" max="13581" width="8.625" style="10" customWidth="1"/>
    <col min="13582" max="13582" width="10.625" style="10" customWidth="1"/>
    <col min="13583" max="13826" width="9" style="10"/>
    <col min="13827" max="13827" width="10.625" style="10" customWidth="1"/>
    <col min="13828" max="13837" width="8.625" style="10" customWidth="1"/>
    <col min="13838" max="13838" width="10.625" style="10" customWidth="1"/>
    <col min="13839" max="14082" width="9" style="10"/>
    <col min="14083" max="14083" width="10.625" style="10" customWidth="1"/>
    <col min="14084" max="14093" width="8.625" style="10" customWidth="1"/>
    <col min="14094" max="14094" width="10.625" style="10" customWidth="1"/>
    <col min="14095" max="14338" width="9" style="10"/>
    <col min="14339" max="14339" width="10.625" style="10" customWidth="1"/>
    <col min="14340" max="14349" width="8.625" style="10" customWidth="1"/>
    <col min="14350" max="14350" width="10.625" style="10" customWidth="1"/>
    <col min="14351" max="14594" width="9" style="10"/>
    <col min="14595" max="14595" width="10.625" style="10" customWidth="1"/>
    <col min="14596" max="14605" width="8.625" style="10" customWidth="1"/>
    <col min="14606" max="14606" width="10.625" style="10" customWidth="1"/>
    <col min="14607" max="14850" width="9" style="10"/>
    <col min="14851" max="14851" width="10.625" style="10" customWidth="1"/>
    <col min="14852" max="14861" width="8.625" style="10" customWidth="1"/>
    <col min="14862" max="14862" width="10.625" style="10" customWidth="1"/>
    <col min="14863" max="15106" width="9" style="10"/>
    <col min="15107" max="15107" width="10.625" style="10" customWidth="1"/>
    <col min="15108" max="15117" width="8.625" style="10" customWidth="1"/>
    <col min="15118" max="15118" width="10.625" style="10" customWidth="1"/>
    <col min="15119" max="15362" width="9" style="10"/>
    <col min="15363" max="15363" width="10.625" style="10" customWidth="1"/>
    <col min="15364" max="15373" width="8.625" style="10" customWidth="1"/>
    <col min="15374" max="15374" width="10.625" style="10" customWidth="1"/>
    <col min="15375" max="15618" width="9" style="10"/>
    <col min="15619" max="15619" width="10.625" style="10" customWidth="1"/>
    <col min="15620" max="15629" width="8.625" style="10" customWidth="1"/>
    <col min="15630" max="15630" width="10.625" style="10" customWidth="1"/>
    <col min="15631" max="15874" width="9" style="10"/>
    <col min="15875" max="15875" width="10.625" style="10" customWidth="1"/>
    <col min="15876" max="15885" width="8.625" style="10" customWidth="1"/>
    <col min="15886" max="15886" width="10.625" style="10" customWidth="1"/>
    <col min="15887" max="16130" width="9" style="10"/>
    <col min="16131" max="16131" width="10.625" style="10" customWidth="1"/>
    <col min="16132" max="16141" width="8.625" style="10" customWidth="1"/>
    <col min="16142" max="16142" width="10.625" style="10" customWidth="1"/>
    <col min="16143" max="16384" width="9" style="10"/>
  </cols>
  <sheetData>
    <row r="1" spans="1:14" ht="14.25" x14ac:dyDescent="0.15">
      <c r="A1" s="200" t="s">
        <v>111</v>
      </c>
      <c r="L1" s="247">
        <f>Menu!F15</f>
        <v>44736</v>
      </c>
      <c r="M1" s="247"/>
      <c r="N1" s="247"/>
    </row>
    <row r="3" spans="1:14" x14ac:dyDescent="0.15">
      <c r="B3" s="201" t="str">
        <f>入力!C5</f>
        <v>本部</v>
      </c>
      <c r="C3" s="201" t="str">
        <f>入力!D5</f>
        <v>役員</v>
      </c>
      <c r="D3" s="201" t="str">
        <f>入力!E5</f>
        <v>貿易</v>
      </c>
      <c r="E3" s="201" t="str">
        <f>入力!F5</f>
        <v>大阪</v>
      </c>
      <c r="F3" s="201" t="s">
        <v>126</v>
      </c>
      <c r="G3" s="201" t="str">
        <f>入力!G5</f>
        <v>福岡</v>
      </c>
      <c r="H3" s="201" t="str">
        <f>入力!H5</f>
        <v>名古屋</v>
      </c>
      <c r="I3" s="201" t="str">
        <f>入力!L5</f>
        <v>東京</v>
      </c>
      <c r="J3" s="201" t="str">
        <f>入力!M5</f>
        <v>東京加工</v>
      </c>
      <c r="K3" s="201" t="str">
        <f>入力!N5</f>
        <v>南関東</v>
      </c>
      <c r="L3" s="201" t="str">
        <f>入力!P5</f>
        <v>仙台</v>
      </c>
      <c r="M3" s="201" t="s">
        <v>254</v>
      </c>
      <c r="N3" s="201" t="s">
        <v>12</v>
      </c>
    </row>
    <row r="4" spans="1:14" x14ac:dyDescent="0.15">
      <c r="A4" s="202" t="s">
        <v>112</v>
      </c>
      <c r="B4" s="203">
        <f>入力!C15+入力!C16</f>
        <v>114191</v>
      </c>
      <c r="C4" s="203">
        <f>入力!D15+入力!D16</f>
        <v>92565</v>
      </c>
      <c r="D4" s="203">
        <f>入力!E15+入力!E16</f>
        <v>0</v>
      </c>
      <c r="E4" s="203">
        <f>入力!F15+入力!F16</f>
        <v>341946</v>
      </c>
      <c r="F4" s="203">
        <f>入力!I15+入力!I16</f>
        <v>87580</v>
      </c>
      <c r="G4" s="203">
        <f>入力!G15+入力!G16+入力!J15+入力!J16</f>
        <v>192445</v>
      </c>
      <c r="H4" s="203">
        <f>入力!H15+入力!H16+入力!K15+入力!K16</f>
        <v>24440</v>
      </c>
      <c r="I4" s="203">
        <f>入力!L15+入力!L16</f>
        <v>417686</v>
      </c>
      <c r="J4" s="203">
        <f>入力!M15+入力!M16</f>
        <v>115385</v>
      </c>
      <c r="K4" s="203">
        <f>入力!N15+入力!N16+入力!O15+入力!O16</f>
        <v>197968</v>
      </c>
      <c r="L4" s="203">
        <f>入力!P15+入力!P16+入力!Q15+入力!Q16</f>
        <v>112224</v>
      </c>
      <c r="M4" s="203">
        <f>入力!R15+入力!R16+入力!S15+入力!S16</f>
        <v>71188</v>
      </c>
      <c r="N4" s="203">
        <f>SUM(B4:M4)</f>
        <v>1767618</v>
      </c>
    </row>
    <row r="5" spans="1:14" x14ac:dyDescent="0.15">
      <c r="A5" s="128"/>
      <c r="B5" s="204">
        <f>B4/$N$4</f>
        <v>6.4601627727257818E-2</v>
      </c>
      <c r="C5" s="204">
        <f t="shared" ref="C5:K5" si="0">C4/$N$4</f>
        <v>5.2367083838250117E-2</v>
      </c>
      <c r="D5" s="204">
        <f t="shared" si="0"/>
        <v>0</v>
      </c>
      <c r="E5" s="204">
        <f t="shared" si="0"/>
        <v>0.19345016853188868</v>
      </c>
      <c r="F5" s="204">
        <f t="shared" ref="F5" si="1">F4/$N$4</f>
        <v>4.9546904365083404E-2</v>
      </c>
      <c r="G5" s="204">
        <f>G4/$N$4</f>
        <v>0.10887250525848911</v>
      </c>
      <c r="H5" s="204">
        <f>H4/$N$4</f>
        <v>1.382651681528475E-2</v>
      </c>
      <c r="I5" s="204">
        <f t="shared" si="0"/>
        <v>0.23629879306501744</v>
      </c>
      <c r="J5" s="204">
        <f t="shared" si="0"/>
        <v>6.5277113041392429E-2</v>
      </c>
      <c r="K5" s="204">
        <f t="shared" si="0"/>
        <v>0.11199704913618214</v>
      </c>
      <c r="L5" s="204">
        <f>L4/$N$4</f>
        <v>6.3488830731526835E-2</v>
      </c>
      <c r="M5" s="204">
        <f>M4/$N$4</f>
        <v>4.027340748962728E-2</v>
      </c>
      <c r="N5" s="205"/>
    </row>
    <row r="6" spans="1:14" x14ac:dyDescent="0.15">
      <c r="A6" s="202" t="s">
        <v>44</v>
      </c>
      <c r="B6" s="203">
        <f>入力!C17</f>
        <v>182999</v>
      </c>
      <c r="C6" s="203">
        <f>入力!D17</f>
        <v>139995</v>
      </c>
      <c r="D6" s="203">
        <f>入力!E17</f>
        <v>0</v>
      </c>
      <c r="E6" s="203">
        <f>入力!F17</f>
        <v>546069</v>
      </c>
      <c r="F6" s="203">
        <f>入力!I17</f>
        <v>136699</v>
      </c>
      <c r="G6" s="203">
        <f>入力!G17+入力!J17</f>
        <v>333334</v>
      </c>
      <c r="H6" s="203">
        <f>入力!H17+入力!K17</f>
        <v>43005</v>
      </c>
      <c r="I6" s="203">
        <f>入力!L17</f>
        <v>624026</v>
      </c>
      <c r="J6" s="203">
        <f>入力!M17</f>
        <v>185102</v>
      </c>
      <c r="K6" s="203">
        <f>入力!N17+入力!O17</f>
        <v>334978</v>
      </c>
      <c r="L6" s="203">
        <f>入力!P17+入力!Q17</f>
        <v>172659</v>
      </c>
      <c r="M6" s="203">
        <f>入力!R17+入力!S17</f>
        <v>125262</v>
      </c>
      <c r="N6" s="203">
        <f>SUM(B6:M6)</f>
        <v>2824128</v>
      </c>
    </row>
    <row r="7" spans="1:14" x14ac:dyDescent="0.15">
      <c r="A7" s="128"/>
      <c r="B7" s="204">
        <f>B6/$N$6</f>
        <v>6.4798408570716337E-2</v>
      </c>
      <c r="C7" s="204">
        <f t="shared" ref="C7:M7" si="2">C6/$N$6</f>
        <v>4.9571053436671425E-2</v>
      </c>
      <c r="D7" s="204">
        <f t="shared" si="2"/>
        <v>0</v>
      </c>
      <c r="E7" s="204">
        <f t="shared" si="2"/>
        <v>0.19335844550955197</v>
      </c>
      <c r="F7" s="204">
        <f t="shared" ref="F7" si="3">F6/$N$6</f>
        <v>4.8403967525551247E-2</v>
      </c>
      <c r="G7" s="204">
        <f t="shared" si="2"/>
        <v>0.11803076914360822</v>
      </c>
      <c r="H7" s="204">
        <f t="shared" ref="H7" si="4">H6/$N$6</f>
        <v>1.5227709225644164E-2</v>
      </c>
      <c r="I7" s="204">
        <f t="shared" si="2"/>
        <v>0.22096236431209917</v>
      </c>
      <c r="J7" s="204">
        <f t="shared" si="2"/>
        <v>6.5543063203934104E-2</v>
      </c>
      <c r="K7" s="204">
        <f t="shared" si="2"/>
        <v>0.11861289573277133</v>
      </c>
      <c r="L7" s="204">
        <f t="shared" si="2"/>
        <v>6.113710143449589E-2</v>
      </c>
      <c r="M7" s="204">
        <f t="shared" si="2"/>
        <v>4.4354221904956151E-2</v>
      </c>
      <c r="N7" s="205"/>
    </row>
    <row r="8" spans="1:14" x14ac:dyDescent="0.15">
      <c r="A8" s="211" t="s">
        <v>120</v>
      </c>
      <c r="B8" s="203">
        <f>入力!C18</f>
        <v>0</v>
      </c>
      <c r="C8" s="203">
        <f>入力!D18</f>
        <v>0</v>
      </c>
      <c r="D8" s="203">
        <f>入力!E18</f>
        <v>0</v>
      </c>
      <c r="E8" s="203">
        <f>入力!F18</f>
        <v>0</v>
      </c>
      <c r="F8" s="203">
        <f>入力!I18</f>
        <v>0</v>
      </c>
      <c r="G8" s="203">
        <f>入力!G18+入力!J18</f>
        <v>0</v>
      </c>
      <c r="H8" s="203">
        <f>入力!H18+入力!K18</f>
        <v>0</v>
      </c>
      <c r="I8" s="203">
        <f>入力!L18</f>
        <v>0</v>
      </c>
      <c r="J8" s="203">
        <f>入力!M18</f>
        <v>0</v>
      </c>
      <c r="K8" s="203">
        <f>入力!N18+入力!O18</f>
        <v>0</v>
      </c>
      <c r="L8" s="203">
        <f>入力!P18+入力!Q18</f>
        <v>0</v>
      </c>
      <c r="M8" s="203">
        <f>入力!R19+入力!S19</f>
        <v>4111</v>
      </c>
      <c r="N8" s="203">
        <f>SUM(B8:M8)</f>
        <v>4111</v>
      </c>
    </row>
    <row r="9" spans="1:14" x14ac:dyDescent="0.15">
      <c r="A9" s="128"/>
      <c r="B9" s="204" t="str">
        <f>IF(B8=0,"",B8/$N$8)</f>
        <v/>
      </c>
      <c r="C9" s="204" t="str">
        <f t="shared" ref="C9:M9" si="5">IF(C8=0,"",C8/$N$8)</f>
        <v/>
      </c>
      <c r="D9" s="204" t="str">
        <f t="shared" si="5"/>
        <v/>
      </c>
      <c r="E9" s="204" t="str">
        <f t="shared" si="5"/>
        <v/>
      </c>
      <c r="F9" s="204" t="str">
        <f t="shared" ref="F9" si="6">IF(F8=0,"",F8/$N$8)</f>
        <v/>
      </c>
      <c r="G9" s="204" t="str">
        <f t="shared" si="5"/>
        <v/>
      </c>
      <c r="H9" s="204" t="str">
        <f t="shared" ref="H9" si="7">IF(H8=0,"",H8/$N$8)</f>
        <v/>
      </c>
      <c r="I9" s="204" t="str">
        <f t="shared" si="5"/>
        <v/>
      </c>
      <c r="J9" s="204" t="str">
        <f t="shared" si="5"/>
        <v/>
      </c>
      <c r="K9" s="204" t="str">
        <f t="shared" si="5"/>
        <v/>
      </c>
      <c r="L9" s="204" t="str">
        <f t="shared" si="5"/>
        <v/>
      </c>
      <c r="M9" s="204">
        <f t="shared" si="5"/>
        <v>1</v>
      </c>
      <c r="N9" s="205"/>
    </row>
    <row r="10" spans="1:14" x14ac:dyDescent="0.15"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</row>
    <row r="11" spans="1:14" x14ac:dyDescent="0.15">
      <c r="B11" s="201" t="str">
        <f>B3</f>
        <v>本部</v>
      </c>
    </row>
    <row r="12" spans="1:14" x14ac:dyDescent="0.15">
      <c r="A12" s="202" t="s">
        <v>112</v>
      </c>
      <c r="B12" s="203">
        <f>SUM(B4:D4)</f>
        <v>206756</v>
      </c>
    </row>
    <row r="13" spans="1:14" x14ac:dyDescent="0.15">
      <c r="A13" s="128"/>
      <c r="B13" s="204">
        <f>B12/$N$4</f>
        <v>0.11696871156550794</v>
      </c>
    </row>
    <row r="14" spans="1:14" x14ac:dyDescent="0.15">
      <c r="A14" s="202" t="s">
        <v>44</v>
      </c>
      <c r="B14" s="203">
        <f>SUM(B6:D6)</f>
        <v>322994</v>
      </c>
    </row>
    <row r="15" spans="1:14" x14ac:dyDescent="0.15">
      <c r="A15" s="128"/>
      <c r="B15" s="204">
        <f>B14/$N$6</f>
        <v>0.11436946200738776</v>
      </c>
    </row>
    <row r="16" spans="1:14" x14ac:dyDescent="0.15">
      <c r="A16" s="211" t="s">
        <v>120</v>
      </c>
      <c r="B16" s="203">
        <f>SUM(B8:D8)</f>
        <v>0</v>
      </c>
    </row>
    <row r="17" spans="1:2" x14ac:dyDescent="0.15">
      <c r="A17" s="128"/>
      <c r="B17" s="204" t="str">
        <f>IF(B16=0,"",B16/$N$8)</f>
        <v/>
      </c>
    </row>
  </sheetData>
  <mergeCells count="1">
    <mergeCell ref="L1:N1"/>
  </mergeCells>
  <phoneticPr fontId="1"/>
  <pageMargins left="0.78700000000000003" right="0.78700000000000003" top="0.98399999999999999" bottom="0.98399999999999999" header="0.51200000000000001" footer="0.51200000000000001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Menu</vt:lpstr>
      <vt:lpstr>Data</vt:lpstr>
      <vt:lpstr>入力</vt:lpstr>
      <vt:lpstr>仕訳</vt:lpstr>
      <vt:lpstr>振替</vt:lpstr>
      <vt:lpstr>仕訳!Print_Area</vt:lpstr>
      <vt:lpstr>入力!Print_Area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</cp:lastModifiedBy>
  <cp:lastPrinted>2022-06-24T06:46:22Z</cp:lastPrinted>
  <dcterms:created xsi:type="dcterms:W3CDTF">2011-01-20T04:01:45Z</dcterms:created>
  <dcterms:modified xsi:type="dcterms:W3CDTF">2022-06-27T01:19:32Z</dcterms:modified>
</cp:coreProperties>
</file>